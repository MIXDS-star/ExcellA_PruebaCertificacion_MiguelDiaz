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_Díaz\Downloads\"/>
    </mc:Choice>
  </mc:AlternateContent>
  <xr:revisionPtr revIDLastSave="0" documentId="13_ncr:1_{0437781C-028A-4C65-9471-7D304AC1ECE0}" xr6:coauthVersionLast="47" xr6:coauthVersionMax="47" xr10:uidLastSave="{00000000-0000-0000-0000-000000000000}"/>
  <bookViews>
    <workbookView xWindow="-108" yWindow="-108" windowWidth="23256" windowHeight="12456" activeTab="1" xr2:uid="{B7FB4A2E-769B-4A00-8B22-CC09B1EF4E2E}"/>
  </bookViews>
  <sheets>
    <sheet name="Datos" sheetId="1" r:id="rId1"/>
    <sheet name="Análisis de datos" sheetId="3" r:id="rId2"/>
    <sheet name="Dashboard" sheetId="5" r:id="rId3"/>
  </sheets>
  <calcPr calcId="191029"/>
  <pivotCaches>
    <pivotCache cacheId="90" r:id="rId4"/>
    <pivotCache cacheId="94" r:id="rId5"/>
    <pivotCache cacheId="98" r:id="rId6"/>
    <pivotCache cacheId="102" r:id="rId7"/>
    <pivotCache cacheId="10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1" i="3" l="1"/>
  <c r="F52" i="3"/>
  <c r="F53" i="3"/>
  <c r="F54" i="3"/>
  <c r="F55" i="3"/>
  <c r="F56" i="3"/>
  <c r="F57" i="3"/>
  <c r="F58" i="3"/>
  <c r="F59" i="3"/>
  <c r="E51" i="3"/>
  <c r="E52" i="3"/>
  <c r="E53" i="3"/>
  <c r="E54" i="3"/>
  <c r="E55" i="3"/>
  <c r="E56" i="3"/>
  <c r="E57" i="3"/>
  <c r="E58" i="3"/>
  <c r="E59" i="3"/>
  <c r="F50" i="3"/>
  <c r="E50" i="3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</calcChain>
</file>

<file path=xl/sharedStrings.xml><?xml version="1.0" encoding="utf-8"?>
<sst xmlns="http://schemas.openxmlformats.org/spreadsheetml/2006/main" count="179" uniqueCount="44">
  <si>
    <t>Fecha</t>
  </si>
  <si>
    <t>Semana</t>
  </si>
  <si>
    <t>Actividad</t>
  </si>
  <si>
    <t>Rubro</t>
  </si>
  <si>
    <t>Presupuesto</t>
  </si>
  <si>
    <t>Costo_Real</t>
  </si>
  <si>
    <t>Excavación</t>
  </si>
  <si>
    <t>Mano de obra</t>
  </si>
  <si>
    <t>Equipos</t>
  </si>
  <si>
    <t>Materiales</t>
  </si>
  <si>
    <t>Subcontratos</t>
  </si>
  <si>
    <t>Cimentación</t>
  </si>
  <si>
    <t>Estructura</t>
  </si>
  <si>
    <t>Mampostería</t>
  </si>
  <si>
    <t>Instalaciones</t>
  </si>
  <si>
    <t>Acabados</t>
  </si>
  <si>
    <t>Cubierta</t>
  </si>
  <si>
    <t>Acabados finales</t>
  </si>
  <si>
    <t>Urbanismo</t>
  </si>
  <si>
    <t>Desviación</t>
  </si>
  <si>
    <t>Estado</t>
  </si>
  <si>
    <t>%Desviación</t>
  </si>
  <si>
    <t>Total general</t>
  </si>
  <si>
    <t>Suma de Presupuesto</t>
  </si>
  <si>
    <t>Suma de Costo_Real</t>
  </si>
  <si>
    <t>Suma de Desviación</t>
  </si>
  <si>
    <t>Desviación por actividad</t>
  </si>
  <si>
    <t>Etiquetas de fila</t>
  </si>
  <si>
    <t>(Todas)</t>
  </si>
  <si>
    <t>Suma de Presupuesto.</t>
  </si>
  <si>
    <t>Suma de  Costo_Real.</t>
  </si>
  <si>
    <t>Suma de Desviación.</t>
  </si>
  <si>
    <t>Desviación por Rubro</t>
  </si>
  <si>
    <t>Presupuesto Acumulado</t>
  </si>
  <si>
    <t>Costo real acumulado</t>
  </si>
  <si>
    <t>Suma de Presupuesto Acumulado</t>
  </si>
  <si>
    <t>Suma de Costo real acumulado</t>
  </si>
  <si>
    <t>Panel de Desviación, Presupuesto frente a Costo Real</t>
  </si>
  <si>
    <t>Ahorro</t>
  </si>
  <si>
    <t>Sobrecosto</t>
  </si>
  <si>
    <t>Suma de Suma de Presupuesto</t>
  </si>
  <si>
    <t>Suma de Suma de Costo_Real</t>
  </si>
  <si>
    <t>Suma de Suma de Desviación</t>
  </si>
  <si>
    <t>Promedio de %Desviación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</si>
</sst>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F9EF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pivotButton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11" xfId="0" pivotButton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0" borderId="18" xfId="0" pivotButton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0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CF9EF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de certificacion.xlsx]Análisis de datos!TablaDinámica6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datos'!$G$4</c:f>
              <c:strCache>
                <c:ptCount val="1"/>
                <c:pt idx="0">
                  <c:v>Suma de Presupuesto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'Análisis de datos'!$G$5</c:f>
              <c:numCache>
                <c:formatCode>"$"\ #,##0</c:formatCode>
                <c:ptCount val="1"/>
                <c:pt idx="0">
                  <c:v>539500000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0-43DC-A002-3EAAEE60B5F2}"/>
            </c:ext>
          </c:extLst>
        </c:ser>
        <c:ser>
          <c:idx val="1"/>
          <c:order val="1"/>
          <c:tx>
            <c:strRef>
              <c:f>'Análisis de datos'!$H$4</c:f>
              <c:strCache>
                <c:ptCount val="1"/>
                <c:pt idx="0">
                  <c:v>Suma de Costo_Real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'Análisis de datos'!$H$5</c:f>
              <c:numCache>
                <c:formatCode>"$"\ #,##0</c:formatCode>
                <c:ptCount val="1"/>
                <c:pt idx="0">
                  <c:v>586200000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D0-43DC-A002-3EAAEE60B5F2}"/>
            </c:ext>
          </c:extLst>
        </c:ser>
        <c:ser>
          <c:idx val="2"/>
          <c:order val="2"/>
          <c:tx>
            <c:strRef>
              <c:f>'Análisis de datos'!$I$4</c:f>
              <c:strCache>
                <c:ptCount val="1"/>
                <c:pt idx="0">
                  <c:v>Suma de Desviación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'Análisis de datos'!$I$5</c:f>
              <c:numCache>
                <c:formatCode>"$"\ #,##0</c:formatCode>
                <c:ptCount val="1"/>
                <c:pt idx="0">
                  <c:v>46700000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D0-43DC-A002-3EAAEE60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6575343"/>
        <c:axId val="1736586383"/>
      </c:barChart>
      <c:catAx>
        <c:axId val="17365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586383"/>
        <c:crosses val="autoZero"/>
        <c:auto val="1"/>
        <c:lblAlgn val="ctr"/>
        <c:lblOffset val="100"/>
        <c:noMultiLvlLbl val="0"/>
      </c:catAx>
      <c:valAx>
        <c:axId val="17365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57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de certificacion.xlsx]Análisis de datos!TablaDinámica2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datos'!$G$28</c:f>
              <c:strCache>
                <c:ptCount val="1"/>
                <c:pt idx="0">
                  <c:v>Suma de Presupuesto.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datos'!$G$29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'Análisis de datos'!$G$29</c:f>
              <c:numCache>
                <c:formatCode>"$"\ #,##0</c:formatCode>
                <c:ptCount val="1"/>
                <c:pt idx="0">
                  <c:v>539500000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F-4536-BDA8-6978C05CA0CD}"/>
            </c:ext>
          </c:extLst>
        </c:ser>
        <c:ser>
          <c:idx val="1"/>
          <c:order val="1"/>
          <c:tx>
            <c:strRef>
              <c:f>'Análisis de datos'!$H$28</c:f>
              <c:strCache>
                <c:ptCount val="1"/>
                <c:pt idx="0">
                  <c:v>Suma de  Costo_Real.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datos'!$G$29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'Análisis de datos'!$H$29</c:f>
              <c:numCache>
                <c:formatCode>"$"\ #,##0</c:formatCode>
                <c:ptCount val="1"/>
                <c:pt idx="0">
                  <c:v>586200000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7F-4536-BDA8-6978C05CA0CD}"/>
            </c:ext>
          </c:extLst>
        </c:ser>
        <c:ser>
          <c:idx val="2"/>
          <c:order val="2"/>
          <c:tx>
            <c:strRef>
              <c:f>'Análisis de datos'!$I$28</c:f>
              <c:strCache>
                <c:ptCount val="1"/>
                <c:pt idx="0">
                  <c:v>Suma de Desviación.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datos'!$G$29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'Análisis de datos'!$I$29</c:f>
              <c:numCache>
                <c:formatCode>"$"\ #,##0</c:formatCode>
                <c:ptCount val="1"/>
                <c:pt idx="0">
                  <c:v>46700000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7F-4536-BDA8-6978C05C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7911472"/>
        <c:axId val="1537913872"/>
      </c:barChart>
      <c:catAx>
        <c:axId val="15379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7913872"/>
        <c:crosses val="autoZero"/>
        <c:auto val="1"/>
        <c:lblAlgn val="ctr"/>
        <c:lblOffset val="100"/>
        <c:noMultiLvlLbl val="0"/>
      </c:catAx>
      <c:valAx>
        <c:axId val="15379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79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de certificacion.xlsx]Análisis de datos!TablaDinámica4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datos'!$C$49</c:f>
              <c:strCache>
                <c:ptCount val="1"/>
                <c:pt idx="0">
                  <c:v>Suma de Presupuesto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datos'!$B$50:$B$60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'Análisis de datos'!$C$50:$C$60</c:f>
              <c:numCache>
                <c:formatCode>"$"\ #,##0</c:formatCode>
                <c:ptCount val="10"/>
                <c:pt idx="0">
                  <c:v>28000000</c:v>
                </c:pt>
                <c:pt idx="1">
                  <c:v>56000000</c:v>
                </c:pt>
                <c:pt idx="2">
                  <c:v>70000000</c:v>
                </c:pt>
                <c:pt idx="3">
                  <c:v>76000000</c:v>
                </c:pt>
                <c:pt idx="4">
                  <c:v>43000000</c:v>
                </c:pt>
                <c:pt idx="5">
                  <c:v>52000000</c:v>
                </c:pt>
                <c:pt idx="6">
                  <c:v>53000000</c:v>
                </c:pt>
                <c:pt idx="7">
                  <c:v>50500000</c:v>
                </c:pt>
                <c:pt idx="8">
                  <c:v>37000000</c:v>
                </c:pt>
                <c:pt idx="9">
                  <c:v>74000000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0-44A4-9EE8-7A77B1A92A9A}"/>
            </c:ext>
          </c:extLst>
        </c:ser>
        <c:ser>
          <c:idx val="1"/>
          <c:order val="1"/>
          <c:tx>
            <c:strRef>
              <c:f>'Análisis de datos'!$D$49</c:f>
              <c:strCache>
                <c:ptCount val="1"/>
                <c:pt idx="0">
                  <c:v>Suma de Costo_Real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datos'!$B$50:$B$60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'Análisis de datos'!$D$50:$D$60</c:f>
              <c:numCache>
                <c:formatCode>"$"\ #,##0</c:formatCode>
                <c:ptCount val="10"/>
                <c:pt idx="0">
                  <c:v>28900000</c:v>
                </c:pt>
                <c:pt idx="1">
                  <c:v>58500000</c:v>
                </c:pt>
                <c:pt idx="2">
                  <c:v>77000000</c:v>
                </c:pt>
                <c:pt idx="3">
                  <c:v>82500000</c:v>
                </c:pt>
                <c:pt idx="4">
                  <c:v>45200000</c:v>
                </c:pt>
                <c:pt idx="5">
                  <c:v>55500000</c:v>
                </c:pt>
                <c:pt idx="6">
                  <c:v>58900000</c:v>
                </c:pt>
                <c:pt idx="7">
                  <c:v>55800000</c:v>
                </c:pt>
                <c:pt idx="8">
                  <c:v>40800000</c:v>
                </c:pt>
                <c:pt idx="9">
                  <c:v>83100000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0-44A4-9EE8-7A77B1A92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8600976"/>
        <c:axId val="1728601936"/>
      </c:barChart>
      <c:catAx>
        <c:axId val="172860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8601936"/>
        <c:crosses val="autoZero"/>
        <c:auto val="1"/>
        <c:lblAlgn val="ctr"/>
        <c:lblOffset val="100"/>
        <c:noMultiLvlLbl val="0"/>
      </c:catAx>
      <c:valAx>
        <c:axId val="17286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860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de certificacion.xlsx]Análisis de datos!TablaDinámica5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80225221469102"/>
          <c:y val="0.13069863082401323"/>
          <c:w val="0.46183445110208426"/>
          <c:h val="0.68714512596753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datos'!$C$65</c:f>
              <c:strCache>
                <c:ptCount val="1"/>
                <c:pt idx="0">
                  <c:v>Suma de Presupuesto Acumulado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'Análisis de datos'!$B$66:$B$76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'Análisis de datos'!$C$66:$C$76</c:f>
              <c:numCache>
                <c:formatCode>"$"\ #,##0</c:formatCode>
                <c:ptCount val="10"/>
                <c:pt idx="0">
                  <c:v>28000000</c:v>
                </c:pt>
                <c:pt idx="1">
                  <c:v>84000000</c:v>
                </c:pt>
                <c:pt idx="2">
                  <c:v>154000000</c:v>
                </c:pt>
                <c:pt idx="3">
                  <c:v>230000000</c:v>
                </c:pt>
                <c:pt idx="4">
                  <c:v>273000000</c:v>
                </c:pt>
                <c:pt idx="5">
                  <c:v>325000000</c:v>
                </c:pt>
                <c:pt idx="6">
                  <c:v>378000000</c:v>
                </c:pt>
                <c:pt idx="7">
                  <c:v>428500000</c:v>
                </c:pt>
                <c:pt idx="8">
                  <c:v>465500000</c:v>
                </c:pt>
                <c:pt idx="9">
                  <c:v>539500000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0-4806-AD00-7272893B307B}"/>
            </c:ext>
          </c:extLst>
        </c:ser>
        <c:ser>
          <c:idx val="1"/>
          <c:order val="1"/>
          <c:tx>
            <c:strRef>
              <c:f>'Análisis de datos'!$D$65</c:f>
              <c:strCache>
                <c:ptCount val="1"/>
                <c:pt idx="0">
                  <c:v>Suma de Costo real acumulado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'Análisis de datos'!$B$66:$B$76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'Análisis de datos'!$D$66:$D$76</c:f>
              <c:numCache>
                <c:formatCode>"$"\ #,##0</c:formatCode>
                <c:ptCount val="10"/>
                <c:pt idx="0">
                  <c:v>28900000</c:v>
                </c:pt>
                <c:pt idx="1">
                  <c:v>87400000</c:v>
                </c:pt>
                <c:pt idx="2">
                  <c:v>164400000</c:v>
                </c:pt>
                <c:pt idx="3">
                  <c:v>246900000</c:v>
                </c:pt>
                <c:pt idx="4">
                  <c:v>292100000</c:v>
                </c:pt>
                <c:pt idx="5">
                  <c:v>347600000</c:v>
                </c:pt>
                <c:pt idx="6">
                  <c:v>406500000</c:v>
                </c:pt>
                <c:pt idx="7">
                  <c:v>462300000</c:v>
                </c:pt>
                <c:pt idx="8">
                  <c:v>503100000</c:v>
                </c:pt>
                <c:pt idx="9">
                  <c:v>586200000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30-4806-AD00-7272893B3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0994224"/>
        <c:axId val="1510990864"/>
      </c:barChart>
      <c:catAx>
        <c:axId val="15109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0990864"/>
        <c:crosses val="autoZero"/>
        <c:auto val="1"/>
        <c:lblAlgn val="ctr"/>
        <c:lblOffset val="100"/>
        <c:noMultiLvlLbl val="0"/>
      </c:catAx>
      <c:valAx>
        <c:axId val="15109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09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"Estado": Sobrecosto representa la mayoría de la sección "Presupuesto".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50-43AC-BA85-3ABBEFBD9C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50-43AC-BA85-3ABBEFBD9C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Sobrecosto</c:v>
              </c:pt>
              <c:pt idx="1">
                <c:v>Ahorro</c:v>
              </c:pt>
            </c:strLit>
          </c:cat>
          <c:val>
            <c:numLit>
              <c:formatCode>General</c:formatCode>
              <c:ptCount val="2"/>
              <c:pt idx="0">
                <c:v>498500000</c:v>
              </c:pt>
              <c:pt idx="1">
                <c:v>41000000</c:v>
              </c:pt>
            </c:numLit>
          </c:val>
          <c:extLst>
            <c:ext xmlns:c16="http://schemas.microsoft.com/office/drawing/2014/chart" uri="{C3380CC4-5D6E-409C-BE32-E72D297353CC}">
              <c16:uniqueId val="{00000004-1A50-43AC-BA85-3ABBEFBD9C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Campo: </a:t>
            </a:r>
            <a:r>
              <a:rPr lang="en-US">
                <a:solidFill>
                  <a:srgbClr val="DD5A13"/>
                </a:solidFill>
              </a:rPr>
              <a:t>Presupuesto</a:t>
            </a:r>
            <a:r>
              <a:rPr lang="en-US"/>
              <a:t> y campo: </a:t>
            </a:r>
            <a:r>
              <a:rPr lang="en-US">
                <a:solidFill>
                  <a:srgbClr val="DD5A13"/>
                </a:solidFill>
              </a:rPr>
              <a:t>Costo_Real</a:t>
            </a:r>
            <a:r>
              <a:rPr lang="en-US"/>
              <a:t> parece estar muy correlacionado.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Datos!$G$2</c:f>
              <c:strCache>
                <c:ptCount val="1"/>
                <c:pt idx="0">
                  <c:v>Costo_Real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Datos!$F$3:$F$46</c:f>
              <c:numCache>
                <c:formatCode>"$"\ #,##0</c:formatCode>
                <c:ptCount val="44"/>
                <c:pt idx="0">
                  <c:v>12000000</c:v>
                </c:pt>
                <c:pt idx="1">
                  <c:v>8000000</c:v>
                </c:pt>
                <c:pt idx="2">
                  <c:v>5000000</c:v>
                </c:pt>
                <c:pt idx="3">
                  <c:v>3000000</c:v>
                </c:pt>
                <c:pt idx="4">
                  <c:v>25000000</c:v>
                </c:pt>
                <c:pt idx="5">
                  <c:v>15000000</c:v>
                </c:pt>
                <c:pt idx="6">
                  <c:v>10000000</c:v>
                </c:pt>
                <c:pt idx="7">
                  <c:v>6000000</c:v>
                </c:pt>
                <c:pt idx="8">
                  <c:v>30000000</c:v>
                </c:pt>
                <c:pt idx="9">
                  <c:v>20000000</c:v>
                </c:pt>
                <c:pt idx="10">
                  <c:v>12000000</c:v>
                </c:pt>
                <c:pt idx="11">
                  <c:v>8000000</c:v>
                </c:pt>
                <c:pt idx="12">
                  <c:v>32000000</c:v>
                </c:pt>
                <c:pt idx="13">
                  <c:v>22000000</c:v>
                </c:pt>
                <c:pt idx="14">
                  <c:v>13000000</c:v>
                </c:pt>
                <c:pt idx="15">
                  <c:v>9000000</c:v>
                </c:pt>
                <c:pt idx="16">
                  <c:v>18000000</c:v>
                </c:pt>
                <c:pt idx="17">
                  <c:v>14000000</c:v>
                </c:pt>
                <c:pt idx="18">
                  <c:v>6000000</c:v>
                </c:pt>
                <c:pt idx="19">
                  <c:v>5000000</c:v>
                </c:pt>
                <c:pt idx="20">
                  <c:v>20000000</c:v>
                </c:pt>
                <c:pt idx="21">
                  <c:v>16000000</c:v>
                </c:pt>
                <c:pt idx="22">
                  <c:v>7000000</c:v>
                </c:pt>
                <c:pt idx="23">
                  <c:v>9000000</c:v>
                </c:pt>
                <c:pt idx="24">
                  <c:v>22000000</c:v>
                </c:pt>
                <c:pt idx="25">
                  <c:v>18000000</c:v>
                </c:pt>
                <c:pt idx="26">
                  <c:v>5000000</c:v>
                </c:pt>
                <c:pt idx="27">
                  <c:v>8000000</c:v>
                </c:pt>
                <c:pt idx="28">
                  <c:v>21000000</c:v>
                </c:pt>
                <c:pt idx="29">
                  <c:v>17500000</c:v>
                </c:pt>
                <c:pt idx="30">
                  <c:v>4500000</c:v>
                </c:pt>
                <c:pt idx="31">
                  <c:v>7500000</c:v>
                </c:pt>
                <c:pt idx="32">
                  <c:v>15000000</c:v>
                </c:pt>
                <c:pt idx="33">
                  <c:v>12000000</c:v>
                </c:pt>
                <c:pt idx="34">
                  <c:v>4000000</c:v>
                </c:pt>
                <c:pt idx="35">
                  <c:v>6000000</c:v>
                </c:pt>
                <c:pt idx="36">
                  <c:v>18000000</c:v>
                </c:pt>
                <c:pt idx="37">
                  <c:v>16000000</c:v>
                </c:pt>
                <c:pt idx="38">
                  <c:v>3000000</c:v>
                </c:pt>
                <c:pt idx="39">
                  <c:v>7000000</c:v>
                </c:pt>
                <c:pt idx="40">
                  <c:v>12000000</c:v>
                </c:pt>
                <c:pt idx="41">
                  <c:v>9000000</c:v>
                </c:pt>
                <c:pt idx="42">
                  <c:v>5000000</c:v>
                </c:pt>
                <c:pt idx="43">
                  <c:v>4000000</c:v>
                </c:pt>
              </c:numCache>
            </c:numRef>
          </c:xVal>
          <c:yVal>
            <c:numRef>
              <c:f>Datos!$G$3:$G$46</c:f>
              <c:numCache>
                <c:formatCode>"$"\ #,##0</c:formatCode>
                <c:ptCount val="44"/>
                <c:pt idx="0">
                  <c:v>11800000</c:v>
                </c:pt>
                <c:pt idx="1">
                  <c:v>9200000</c:v>
                </c:pt>
                <c:pt idx="2">
                  <c:v>4800000</c:v>
                </c:pt>
                <c:pt idx="3">
                  <c:v>3100000</c:v>
                </c:pt>
                <c:pt idx="4">
                  <c:v>27000000</c:v>
                </c:pt>
                <c:pt idx="5">
                  <c:v>15200000</c:v>
                </c:pt>
                <c:pt idx="6">
                  <c:v>9800000</c:v>
                </c:pt>
                <c:pt idx="7">
                  <c:v>6500000</c:v>
                </c:pt>
                <c:pt idx="8">
                  <c:v>34000000</c:v>
                </c:pt>
                <c:pt idx="9">
                  <c:v>21500000</c:v>
                </c:pt>
                <c:pt idx="10">
                  <c:v>13000000</c:v>
                </c:pt>
                <c:pt idx="11">
                  <c:v>8500000</c:v>
                </c:pt>
                <c:pt idx="12">
                  <c:v>35500000</c:v>
                </c:pt>
                <c:pt idx="13">
                  <c:v>23000000</c:v>
                </c:pt>
                <c:pt idx="14">
                  <c:v>14500000</c:v>
                </c:pt>
                <c:pt idx="15">
                  <c:v>9500000</c:v>
                </c:pt>
                <c:pt idx="16">
                  <c:v>19500000</c:v>
                </c:pt>
                <c:pt idx="17">
                  <c:v>13800000</c:v>
                </c:pt>
                <c:pt idx="18">
                  <c:v>6500000</c:v>
                </c:pt>
                <c:pt idx="19">
                  <c:v>5400000</c:v>
                </c:pt>
                <c:pt idx="20">
                  <c:v>21500000</c:v>
                </c:pt>
                <c:pt idx="21">
                  <c:v>17000000</c:v>
                </c:pt>
                <c:pt idx="22">
                  <c:v>7500000</c:v>
                </c:pt>
                <c:pt idx="23">
                  <c:v>9500000</c:v>
                </c:pt>
                <c:pt idx="24">
                  <c:v>25500000</c:v>
                </c:pt>
                <c:pt idx="25">
                  <c:v>19500000</c:v>
                </c:pt>
                <c:pt idx="26">
                  <c:v>5200000</c:v>
                </c:pt>
                <c:pt idx="27">
                  <c:v>8700000</c:v>
                </c:pt>
                <c:pt idx="28">
                  <c:v>24000000</c:v>
                </c:pt>
                <c:pt idx="29">
                  <c:v>19000000</c:v>
                </c:pt>
                <c:pt idx="30">
                  <c:v>4800000</c:v>
                </c:pt>
                <c:pt idx="31">
                  <c:v>8000000</c:v>
                </c:pt>
                <c:pt idx="32">
                  <c:v>16500000</c:v>
                </c:pt>
                <c:pt idx="33">
                  <c:v>13000000</c:v>
                </c:pt>
                <c:pt idx="34">
                  <c:v>4500000</c:v>
                </c:pt>
                <c:pt idx="35">
                  <c:v>6800000</c:v>
                </c:pt>
                <c:pt idx="36">
                  <c:v>20500000</c:v>
                </c:pt>
                <c:pt idx="37">
                  <c:v>17500000</c:v>
                </c:pt>
                <c:pt idx="38">
                  <c:v>3500000</c:v>
                </c:pt>
                <c:pt idx="39">
                  <c:v>7800000</c:v>
                </c:pt>
                <c:pt idx="40">
                  <c:v>13500000</c:v>
                </c:pt>
                <c:pt idx="41">
                  <c:v>10000000</c:v>
                </c:pt>
                <c:pt idx="42">
                  <c:v>5800000</c:v>
                </c:pt>
                <c:pt idx="43">
                  <c:v>4500000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9B-4C73-B001-FFEBE85E3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203727"/>
        <c:axId val="1498204207"/>
      </c:scatterChart>
      <c:valAx>
        <c:axId val="149820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Presupuesto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204207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valAx>
        <c:axId val="14982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Costo_Real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203727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de certificacion.xlsx]Dashboard!TablaDinámica5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Dashboard!$K$85</c:f>
              <c:strCache>
                <c:ptCount val="1"/>
                <c:pt idx="0">
                  <c:v>Suma de Suma de Presupuesto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Dashboard!$J$86:$J$95</c:f>
              <c:strCache>
                <c:ptCount val="9"/>
                <c:pt idx="0">
                  <c:v>Acabados</c:v>
                </c:pt>
                <c:pt idx="1">
                  <c:v>Acabados finales</c:v>
                </c:pt>
                <c:pt idx="2">
                  <c:v>Cimentación</c:v>
                </c:pt>
                <c:pt idx="3">
                  <c:v>Cubierta</c:v>
                </c:pt>
                <c:pt idx="4">
                  <c:v>Estructura</c:v>
                </c:pt>
                <c:pt idx="5">
                  <c:v>Excavación</c:v>
                </c:pt>
                <c:pt idx="6">
                  <c:v>Instalaciones</c:v>
                </c:pt>
                <c:pt idx="7">
                  <c:v>Mampostería</c:v>
                </c:pt>
                <c:pt idx="8">
                  <c:v>Urbanismo</c:v>
                </c:pt>
              </c:strCache>
            </c:strRef>
          </c:cat>
          <c:val>
            <c:numRef>
              <c:f>Dashboard!$K$86:$K$95</c:f>
              <c:numCache>
                <c:formatCode>"$"\ #,##0</c:formatCode>
                <c:ptCount val="9"/>
                <c:pt idx="0">
                  <c:v>103500000</c:v>
                </c:pt>
                <c:pt idx="1">
                  <c:v>44000000</c:v>
                </c:pt>
                <c:pt idx="2">
                  <c:v>56000000</c:v>
                </c:pt>
                <c:pt idx="3">
                  <c:v>37000000</c:v>
                </c:pt>
                <c:pt idx="4">
                  <c:v>146000000</c:v>
                </c:pt>
                <c:pt idx="5">
                  <c:v>28000000</c:v>
                </c:pt>
                <c:pt idx="6">
                  <c:v>52000000</c:v>
                </c:pt>
                <c:pt idx="7">
                  <c:v>43000000</c:v>
                </c:pt>
                <c:pt idx="8">
                  <c:v>30000000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9-40AF-B451-8D14EF2F720E}"/>
            </c:ext>
          </c:extLst>
        </c:ser>
        <c:ser>
          <c:idx val="1"/>
          <c:order val="1"/>
          <c:tx>
            <c:strRef>
              <c:f>Dashboard!$L$85</c:f>
              <c:strCache>
                <c:ptCount val="1"/>
                <c:pt idx="0">
                  <c:v>Suma de Suma de Costo_Real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Dashboard!$J$86:$J$95</c:f>
              <c:strCache>
                <c:ptCount val="9"/>
                <c:pt idx="0">
                  <c:v>Acabados</c:v>
                </c:pt>
                <c:pt idx="1">
                  <c:v>Acabados finales</c:v>
                </c:pt>
                <c:pt idx="2">
                  <c:v>Cimentación</c:v>
                </c:pt>
                <c:pt idx="3">
                  <c:v>Cubierta</c:v>
                </c:pt>
                <c:pt idx="4">
                  <c:v>Estructura</c:v>
                </c:pt>
                <c:pt idx="5">
                  <c:v>Excavación</c:v>
                </c:pt>
                <c:pt idx="6">
                  <c:v>Instalaciones</c:v>
                </c:pt>
                <c:pt idx="7">
                  <c:v>Mampostería</c:v>
                </c:pt>
                <c:pt idx="8">
                  <c:v>Urbanismo</c:v>
                </c:pt>
              </c:strCache>
            </c:strRef>
          </c:cat>
          <c:val>
            <c:numRef>
              <c:f>Dashboard!$L$86:$L$95</c:f>
              <c:numCache>
                <c:formatCode>"$"\ #,##0</c:formatCode>
                <c:ptCount val="9"/>
                <c:pt idx="0">
                  <c:v>114700000</c:v>
                </c:pt>
                <c:pt idx="1">
                  <c:v>49300000</c:v>
                </c:pt>
                <c:pt idx="2">
                  <c:v>58500000</c:v>
                </c:pt>
                <c:pt idx="3">
                  <c:v>40800000</c:v>
                </c:pt>
                <c:pt idx="4">
                  <c:v>159500000</c:v>
                </c:pt>
                <c:pt idx="5">
                  <c:v>28900000</c:v>
                </c:pt>
                <c:pt idx="6">
                  <c:v>55500000</c:v>
                </c:pt>
                <c:pt idx="7">
                  <c:v>45200000</c:v>
                </c:pt>
                <c:pt idx="8">
                  <c:v>33800000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9-40AF-B451-8D14EF2F7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8135087"/>
        <c:axId val="1498131727"/>
      </c:barChart>
      <c:lineChart>
        <c:grouping val="standard"/>
        <c:varyColors val="0"/>
        <c:ser>
          <c:idx val="2"/>
          <c:order val="2"/>
          <c:tx>
            <c:strRef>
              <c:f>Dashboard!$M$85</c:f>
              <c:strCache>
                <c:ptCount val="1"/>
                <c:pt idx="0">
                  <c:v>Suma de Suma de Desviación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Dashboard!$J$86:$J$95</c:f>
              <c:strCache>
                <c:ptCount val="9"/>
                <c:pt idx="0">
                  <c:v>Acabados</c:v>
                </c:pt>
                <c:pt idx="1">
                  <c:v>Acabados finales</c:v>
                </c:pt>
                <c:pt idx="2">
                  <c:v>Cimentación</c:v>
                </c:pt>
                <c:pt idx="3">
                  <c:v>Cubierta</c:v>
                </c:pt>
                <c:pt idx="4">
                  <c:v>Estructura</c:v>
                </c:pt>
                <c:pt idx="5">
                  <c:v>Excavación</c:v>
                </c:pt>
                <c:pt idx="6">
                  <c:v>Instalaciones</c:v>
                </c:pt>
                <c:pt idx="7">
                  <c:v>Mampostería</c:v>
                </c:pt>
                <c:pt idx="8">
                  <c:v>Urbanismo</c:v>
                </c:pt>
              </c:strCache>
            </c:strRef>
          </c:cat>
          <c:val>
            <c:numRef>
              <c:f>Dashboard!$M$86:$M$95</c:f>
              <c:numCache>
                <c:formatCode>"$"\ #,##0</c:formatCode>
                <c:ptCount val="9"/>
                <c:pt idx="0">
                  <c:v>11200000</c:v>
                </c:pt>
                <c:pt idx="1">
                  <c:v>5300000</c:v>
                </c:pt>
                <c:pt idx="2">
                  <c:v>2500000</c:v>
                </c:pt>
                <c:pt idx="3">
                  <c:v>3800000</c:v>
                </c:pt>
                <c:pt idx="4">
                  <c:v>13500000</c:v>
                </c:pt>
                <c:pt idx="5">
                  <c:v>900000</c:v>
                </c:pt>
                <c:pt idx="6">
                  <c:v>3500000</c:v>
                </c:pt>
                <c:pt idx="7">
                  <c:v>2200000</c:v>
                </c:pt>
                <c:pt idx="8">
                  <c:v>3800000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89-40AF-B451-8D14EF2F7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201231"/>
        <c:axId val="1218193551"/>
      </c:lineChart>
      <c:catAx>
        <c:axId val="149813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131727"/>
        <c:crosses val="autoZero"/>
        <c:auto val="1"/>
        <c:lblAlgn val="ctr"/>
        <c:lblOffset val="100"/>
        <c:noMultiLvlLbl val="0"/>
      </c:catAx>
      <c:valAx>
        <c:axId val="14981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135087"/>
        <c:crosses val="autoZero"/>
        <c:crossBetween val="between"/>
      </c:valAx>
      <c:valAx>
        <c:axId val="1218193551"/>
        <c:scaling>
          <c:orientation val="minMax"/>
        </c:scaling>
        <c:delete val="0"/>
        <c:axPos val="r"/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8201231"/>
        <c:crosses val="max"/>
        <c:crossBetween val="between"/>
      </c:valAx>
      <c:catAx>
        <c:axId val="1218201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81935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de certificacion.xlsx]Análisis de datos!TablaDinámica5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80225221469102"/>
          <c:y val="0.13069863082401323"/>
          <c:w val="0.46183445110208426"/>
          <c:h val="0.68714512596753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datos'!$C$65</c:f>
              <c:strCache>
                <c:ptCount val="1"/>
                <c:pt idx="0">
                  <c:v>Suma de Presupuesto Acumulado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'Análisis de datos'!$B$66:$B$76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'Análisis de datos'!$C$66:$C$76</c:f>
              <c:numCache>
                <c:formatCode>"$"\ #,##0</c:formatCode>
                <c:ptCount val="10"/>
                <c:pt idx="0">
                  <c:v>28000000</c:v>
                </c:pt>
                <c:pt idx="1">
                  <c:v>84000000</c:v>
                </c:pt>
                <c:pt idx="2">
                  <c:v>154000000</c:v>
                </c:pt>
                <c:pt idx="3">
                  <c:v>230000000</c:v>
                </c:pt>
                <c:pt idx="4">
                  <c:v>273000000</c:v>
                </c:pt>
                <c:pt idx="5">
                  <c:v>325000000</c:v>
                </c:pt>
                <c:pt idx="6">
                  <c:v>378000000</c:v>
                </c:pt>
                <c:pt idx="7">
                  <c:v>428500000</c:v>
                </c:pt>
                <c:pt idx="8">
                  <c:v>465500000</c:v>
                </c:pt>
                <c:pt idx="9">
                  <c:v>539500000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A-49CD-A455-D68DA58AD12E}"/>
            </c:ext>
          </c:extLst>
        </c:ser>
        <c:ser>
          <c:idx val="1"/>
          <c:order val="1"/>
          <c:tx>
            <c:strRef>
              <c:f>'Análisis de datos'!$D$65</c:f>
              <c:strCache>
                <c:ptCount val="1"/>
                <c:pt idx="0">
                  <c:v>Suma de Costo real acumulado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'Análisis de datos'!$B$66:$B$76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'Análisis de datos'!$D$66:$D$76</c:f>
              <c:numCache>
                <c:formatCode>"$"\ #,##0</c:formatCode>
                <c:ptCount val="10"/>
                <c:pt idx="0">
                  <c:v>28900000</c:v>
                </c:pt>
                <c:pt idx="1">
                  <c:v>87400000</c:v>
                </c:pt>
                <c:pt idx="2">
                  <c:v>164400000</c:v>
                </c:pt>
                <c:pt idx="3">
                  <c:v>246900000</c:v>
                </c:pt>
                <c:pt idx="4">
                  <c:v>292100000</c:v>
                </c:pt>
                <c:pt idx="5">
                  <c:v>347600000</c:v>
                </c:pt>
                <c:pt idx="6">
                  <c:v>406500000</c:v>
                </c:pt>
                <c:pt idx="7">
                  <c:v>462300000</c:v>
                </c:pt>
                <c:pt idx="8">
                  <c:v>503100000</c:v>
                </c:pt>
                <c:pt idx="9">
                  <c:v>586200000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5A-49CD-A455-D68DA58A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0994224"/>
        <c:axId val="1510990864"/>
      </c:barChart>
      <c:catAx>
        <c:axId val="15109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0990864"/>
        <c:crosses val="autoZero"/>
        <c:auto val="1"/>
        <c:lblAlgn val="ctr"/>
        <c:lblOffset val="100"/>
        <c:noMultiLvlLbl val="0"/>
      </c:catAx>
      <c:valAx>
        <c:axId val="15109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09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"Presupuesto" por "Actividad"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Estructura</c:v>
              </c:pt>
              <c:pt idx="1">
                <c:v>Acabados</c:v>
              </c:pt>
              <c:pt idx="2">
                <c:v>Cimentación</c:v>
              </c:pt>
              <c:pt idx="3">
                <c:v>Instalaciones</c:v>
              </c:pt>
              <c:pt idx="4">
                <c:v>Acabados finales</c:v>
              </c:pt>
              <c:pt idx="5">
                <c:v>Mampostería</c:v>
              </c:pt>
              <c:pt idx="6">
                <c:v>Cubierta</c:v>
              </c:pt>
              <c:pt idx="7">
                <c:v>Urbanismo</c:v>
              </c:pt>
              <c:pt idx="8">
                <c:v>Excavación</c:v>
              </c:pt>
            </c:strLit>
          </c:cat>
          <c:val>
            <c:numLit>
              <c:formatCode>General</c:formatCode>
              <c:ptCount val="9"/>
              <c:pt idx="0">
                <c:v>146000000</c:v>
              </c:pt>
              <c:pt idx="1">
                <c:v>103500000</c:v>
              </c:pt>
              <c:pt idx="2">
                <c:v>56000000</c:v>
              </c:pt>
              <c:pt idx="3">
                <c:v>52000000</c:v>
              </c:pt>
              <c:pt idx="4">
                <c:v>44000000</c:v>
              </c:pt>
              <c:pt idx="5">
                <c:v>43000000</c:v>
              </c:pt>
              <c:pt idx="6">
                <c:v>37000000</c:v>
              </c:pt>
              <c:pt idx="7">
                <c:v>30000000</c:v>
              </c:pt>
              <c:pt idx="8">
                <c:v>28000000</c:v>
              </c:pt>
            </c:numLit>
          </c:val>
          <c:extLst>
            <c:ext xmlns:c16="http://schemas.microsoft.com/office/drawing/2014/chart" uri="{C3380CC4-5D6E-409C-BE32-E72D297353CC}">
              <c16:uniqueId val="{00000000-3267-4052-B4EC-EEEDEA8B7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143075647"/>
        <c:axId val="2143081407"/>
      </c:barChart>
      <c:catAx>
        <c:axId val="214307564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081407"/>
        <c:crosses val="autoZero"/>
        <c:auto val="1"/>
        <c:lblAlgn val="ctr"/>
        <c:lblOffset val="100"/>
        <c:noMultiLvlLbl val="0"/>
      </c:catAx>
      <c:valAx>
        <c:axId val="214308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Presupuesto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075647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"Estado: Ahorro", </a:t>
            </a:r>
            <a:r>
              <a:rPr lang="en-US">
                <a:solidFill>
                  <a:srgbClr val="DD5A13"/>
                </a:solidFill>
              </a:rPr>
              <a:t>%Desviación</a:t>
            </a:r>
            <a:r>
              <a:rPr lang="en-US"/>
              <a:t> aumenta con el tiempo.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5"/>
            <c:dispRSqr val="0"/>
            <c:dispEq val="0"/>
          </c:trendline>
          <c:cat>
            <c:strLit>
              <c:ptCount val="3"/>
              <c:pt idx="0">
                <c:v>1/02/2025</c:v>
              </c:pt>
              <c:pt idx="1">
                <c:v>8/02/2025</c:v>
              </c:pt>
              <c:pt idx="2">
                <c:v>1/03/2025</c:v>
              </c:pt>
            </c:strLit>
          </c:cat>
          <c:val>
            <c:numLit>
              <c:formatCode>General</c:formatCode>
              <c:ptCount val="3"/>
              <c:pt idx="0">
                <c:v>-2.8333333333333335E-2</c:v>
              </c:pt>
              <c:pt idx="1">
                <c:v>-0.02</c:v>
              </c:pt>
              <c:pt idx="2">
                <c:v>-1.4285714285714285E-2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ED-42BF-8B11-8FD821F0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062687"/>
        <c:axId val="2143060287"/>
      </c:lineChart>
      <c:catAx>
        <c:axId val="2143062687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060287"/>
        <c:crosses val="max"/>
        <c:auto val="1"/>
        <c:lblAlgn val="ctr"/>
        <c:lblOffset val="100"/>
        <c:noMultiLvlLbl val="0"/>
      </c:catAx>
      <c:valAx>
        <c:axId val="21430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06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Desviación</a:t>
            </a:r>
            <a:r>
              <a:rPr lang="es-CO" baseline="0"/>
              <a:t> vs Presupuesto vs Costo real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Desviación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Datos!$B$3:$B$46</c:f>
              <c:numCache>
                <c:formatCode>m/d/yyyy</c:formatCode>
                <c:ptCount val="44"/>
                <c:pt idx="0">
                  <c:v>45689</c:v>
                </c:pt>
                <c:pt idx="1">
                  <c:v>45689</c:v>
                </c:pt>
                <c:pt idx="2">
                  <c:v>45689</c:v>
                </c:pt>
                <c:pt idx="3">
                  <c:v>45689</c:v>
                </c:pt>
                <c:pt idx="4">
                  <c:v>45696</c:v>
                </c:pt>
                <c:pt idx="5">
                  <c:v>45696</c:v>
                </c:pt>
                <c:pt idx="6">
                  <c:v>45696</c:v>
                </c:pt>
                <c:pt idx="7">
                  <c:v>45696</c:v>
                </c:pt>
                <c:pt idx="8">
                  <c:v>45703</c:v>
                </c:pt>
                <c:pt idx="9">
                  <c:v>45703</c:v>
                </c:pt>
                <c:pt idx="10">
                  <c:v>45703</c:v>
                </c:pt>
                <c:pt idx="11">
                  <c:v>45703</c:v>
                </c:pt>
                <c:pt idx="12">
                  <c:v>45710</c:v>
                </c:pt>
                <c:pt idx="13">
                  <c:v>45710</c:v>
                </c:pt>
                <c:pt idx="14">
                  <c:v>45710</c:v>
                </c:pt>
                <c:pt idx="15">
                  <c:v>45710</c:v>
                </c:pt>
                <c:pt idx="16">
                  <c:v>45717</c:v>
                </c:pt>
                <c:pt idx="17">
                  <c:v>45717</c:v>
                </c:pt>
                <c:pt idx="18">
                  <c:v>45717</c:v>
                </c:pt>
                <c:pt idx="19">
                  <c:v>45717</c:v>
                </c:pt>
                <c:pt idx="20">
                  <c:v>45724</c:v>
                </c:pt>
                <c:pt idx="21">
                  <c:v>45724</c:v>
                </c:pt>
                <c:pt idx="22">
                  <c:v>45724</c:v>
                </c:pt>
                <c:pt idx="23">
                  <c:v>45724</c:v>
                </c:pt>
                <c:pt idx="24">
                  <c:v>45731</c:v>
                </c:pt>
                <c:pt idx="25">
                  <c:v>45731</c:v>
                </c:pt>
                <c:pt idx="26">
                  <c:v>45731</c:v>
                </c:pt>
                <c:pt idx="27">
                  <c:v>45731</c:v>
                </c:pt>
                <c:pt idx="28">
                  <c:v>45738</c:v>
                </c:pt>
                <c:pt idx="29">
                  <c:v>45738</c:v>
                </c:pt>
                <c:pt idx="30">
                  <c:v>45738</c:v>
                </c:pt>
                <c:pt idx="31">
                  <c:v>45738</c:v>
                </c:pt>
                <c:pt idx="32">
                  <c:v>45745</c:v>
                </c:pt>
                <c:pt idx="33">
                  <c:v>45745</c:v>
                </c:pt>
                <c:pt idx="34">
                  <c:v>45745</c:v>
                </c:pt>
                <c:pt idx="35">
                  <c:v>45745</c:v>
                </c:pt>
                <c:pt idx="36">
                  <c:v>45752</c:v>
                </c:pt>
                <c:pt idx="37">
                  <c:v>45752</c:v>
                </c:pt>
                <c:pt idx="38">
                  <c:v>45752</c:v>
                </c:pt>
                <c:pt idx="39">
                  <c:v>45752</c:v>
                </c:pt>
                <c:pt idx="40">
                  <c:v>45759</c:v>
                </c:pt>
                <c:pt idx="41">
                  <c:v>45759</c:v>
                </c:pt>
                <c:pt idx="42">
                  <c:v>45759</c:v>
                </c:pt>
                <c:pt idx="43">
                  <c:v>45759</c:v>
                </c:pt>
              </c:numCache>
            </c:numRef>
          </c:xVal>
          <c:yVal>
            <c:numRef>
              <c:f>Datos!$I$3:$I$46</c:f>
              <c:numCache>
                <c:formatCode>0%</c:formatCode>
                <c:ptCount val="44"/>
                <c:pt idx="0">
                  <c:v>-1.6666666666666666E-2</c:v>
                </c:pt>
                <c:pt idx="1">
                  <c:v>0.15</c:v>
                </c:pt>
                <c:pt idx="2">
                  <c:v>-0.04</c:v>
                </c:pt>
                <c:pt idx="3">
                  <c:v>3.3333333333333333E-2</c:v>
                </c:pt>
                <c:pt idx="4">
                  <c:v>0.08</c:v>
                </c:pt>
                <c:pt idx="5">
                  <c:v>1.3333333333333334E-2</c:v>
                </c:pt>
                <c:pt idx="6">
                  <c:v>-0.02</c:v>
                </c:pt>
                <c:pt idx="7">
                  <c:v>8.3333333333333329E-2</c:v>
                </c:pt>
                <c:pt idx="8">
                  <c:v>0.13333333333333333</c:v>
                </c:pt>
                <c:pt idx="9">
                  <c:v>7.4999999999999997E-2</c:v>
                </c:pt>
                <c:pt idx="10">
                  <c:v>8.3333333333333329E-2</c:v>
                </c:pt>
                <c:pt idx="11">
                  <c:v>6.25E-2</c:v>
                </c:pt>
                <c:pt idx="12">
                  <c:v>0.109375</c:v>
                </c:pt>
                <c:pt idx="13">
                  <c:v>4.5454545454545456E-2</c:v>
                </c:pt>
                <c:pt idx="14">
                  <c:v>0.11538461538461539</c:v>
                </c:pt>
                <c:pt idx="15">
                  <c:v>5.5555555555555552E-2</c:v>
                </c:pt>
                <c:pt idx="16">
                  <c:v>8.3333333333333329E-2</c:v>
                </c:pt>
                <c:pt idx="17">
                  <c:v>-1.4285714285714285E-2</c:v>
                </c:pt>
                <c:pt idx="18">
                  <c:v>8.3333333333333329E-2</c:v>
                </c:pt>
                <c:pt idx="19">
                  <c:v>0.08</c:v>
                </c:pt>
                <c:pt idx="20">
                  <c:v>7.4999999999999997E-2</c:v>
                </c:pt>
                <c:pt idx="21">
                  <c:v>6.25E-2</c:v>
                </c:pt>
                <c:pt idx="22">
                  <c:v>7.1428571428571425E-2</c:v>
                </c:pt>
                <c:pt idx="23">
                  <c:v>5.5555555555555552E-2</c:v>
                </c:pt>
                <c:pt idx="24">
                  <c:v>0.15909090909090909</c:v>
                </c:pt>
                <c:pt idx="25">
                  <c:v>8.3333333333333329E-2</c:v>
                </c:pt>
                <c:pt idx="26">
                  <c:v>0.04</c:v>
                </c:pt>
                <c:pt idx="27">
                  <c:v>8.7499999999999994E-2</c:v>
                </c:pt>
                <c:pt idx="28">
                  <c:v>0.14285714285714285</c:v>
                </c:pt>
                <c:pt idx="29">
                  <c:v>8.5714285714285715E-2</c:v>
                </c:pt>
                <c:pt idx="30">
                  <c:v>6.6666666666666666E-2</c:v>
                </c:pt>
                <c:pt idx="31">
                  <c:v>6.6666666666666666E-2</c:v>
                </c:pt>
                <c:pt idx="32">
                  <c:v>0.1</c:v>
                </c:pt>
                <c:pt idx="33">
                  <c:v>8.3333333333333329E-2</c:v>
                </c:pt>
                <c:pt idx="34">
                  <c:v>0.125</c:v>
                </c:pt>
                <c:pt idx="35">
                  <c:v>0.13333333333333333</c:v>
                </c:pt>
                <c:pt idx="36">
                  <c:v>0.1388888888888889</c:v>
                </c:pt>
                <c:pt idx="37">
                  <c:v>9.375E-2</c:v>
                </c:pt>
                <c:pt idx="38">
                  <c:v>0.16666666666666666</c:v>
                </c:pt>
                <c:pt idx="39">
                  <c:v>0.11428571428571428</c:v>
                </c:pt>
                <c:pt idx="40">
                  <c:v>0.125</c:v>
                </c:pt>
                <c:pt idx="41">
                  <c:v>0.1111111111111111</c:v>
                </c:pt>
                <c:pt idx="42">
                  <c:v>0.16</c:v>
                </c:pt>
                <c:pt idx="43">
                  <c:v>0.125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0-42D7-8A85-F35CBD34AAB7}"/>
            </c:ext>
          </c:extLst>
        </c:ser>
        <c:ser>
          <c:idx val="1"/>
          <c:order val="1"/>
          <c:tx>
            <c:v>Presupuesto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Datos!$B$3:$B$46</c:f>
              <c:numCache>
                <c:formatCode>m/d/yyyy</c:formatCode>
                <c:ptCount val="44"/>
                <c:pt idx="0">
                  <c:v>45689</c:v>
                </c:pt>
                <c:pt idx="1">
                  <c:v>45689</c:v>
                </c:pt>
                <c:pt idx="2">
                  <c:v>45689</c:v>
                </c:pt>
                <c:pt idx="3">
                  <c:v>45689</c:v>
                </c:pt>
                <c:pt idx="4">
                  <c:v>45696</c:v>
                </c:pt>
                <c:pt idx="5">
                  <c:v>45696</c:v>
                </c:pt>
                <c:pt idx="6">
                  <c:v>45696</c:v>
                </c:pt>
                <c:pt idx="7">
                  <c:v>45696</c:v>
                </c:pt>
                <c:pt idx="8">
                  <c:v>45703</c:v>
                </c:pt>
                <c:pt idx="9">
                  <c:v>45703</c:v>
                </c:pt>
                <c:pt idx="10">
                  <c:v>45703</c:v>
                </c:pt>
                <c:pt idx="11">
                  <c:v>45703</c:v>
                </c:pt>
                <c:pt idx="12">
                  <c:v>45710</c:v>
                </c:pt>
                <c:pt idx="13">
                  <c:v>45710</c:v>
                </c:pt>
                <c:pt idx="14">
                  <c:v>45710</c:v>
                </c:pt>
                <c:pt idx="15">
                  <c:v>45710</c:v>
                </c:pt>
                <c:pt idx="16">
                  <c:v>45717</c:v>
                </c:pt>
                <c:pt idx="17">
                  <c:v>45717</c:v>
                </c:pt>
                <c:pt idx="18">
                  <c:v>45717</c:v>
                </c:pt>
                <c:pt idx="19">
                  <c:v>45717</c:v>
                </c:pt>
                <c:pt idx="20">
                  <c:v>45724</c:v>
                </c:pt>
                <c:pt idx="21">
                  <c:v>45724</c:v>
                </c:pt>
                <c:pt idx="22">
                  <c:v>45724</c:v>
                </c:pt>
                <c:pt idx="23">
                  <c:v>45724</c:v>
                </c:pt>
                <c:pt idx="24">
                  <c:v>45731</c:v>
                </c:pt>
                <c:pt idx="25">
                  <c:v>45731</c:v>
                </c:pt>
                <c:pt idx="26">
                  <c:v>45731</c:v>
                </c:pt>
                <c:pt idx="27">
                  <c:v>45731</c:v>
                </c:pt>
                <c:pt idx="28">
                  <c:v>45738</c:v>
                </c:pt>
                <c:pt idx="29">
                  <c:v>45738</c:v>
                </c:pt>
                <c:pt idx="30">
                  <c:v>45738</c:v>
                </c:pt>
                <c:pt idx="31">
                  <c:v>45738</c:v>
                </c:pt>
                <c:pt idx="32">
                  <c:v>45745</c:v>
                </c:pt>
                <c:pt idx="33">
                  <c:v>45745</c:v>
                </c:pt>
                <c:pt idx="34">
                  <c:v>45745</c:v>
                </c:pt>
                <c:pt idx="35">
                  <c:v>45745</c:v>
                </c:pt>
                <c:pt idx="36">
                  <c:v>45752</c:v>
                </c:pt>
                <c:pt idx="37">
                  <c:v>45752</c:v>
                </c:pt>
                <c:pt idx="38">
                  <c:v>45752</c:v>
                </c:pt>
                <c:pt idx="39">
                  <c:v>45752</c:v>
                </c:pt>
                <c:pt idx="40">
                  <c:v>45759</c:v>
                </c:pt>
                <c:pt idx="41">
                  <c:v>45759</c:v>
                </c:pt>
                <c:pt idx="42">
                  <c:v>45759</c:v>
                </c:pt>
                <c:pt idx="43">
                  <c:v>45759</c:v>
                </c:pt>
              </c:numCache>
            </c:numRef>
          </c:xVal>
          <c:yVal>
            <c:numRef>
              <c:f>Datos!$F$3:$F$46</c:f>
              <c:numCache>
                <c:formatCode>"$"\ #,##0</c:formatCode>
                <c:ptCount val="44"/>
                <c:pt idx="0">
                  <c:v>12000000</c:v>
                </c:pt>
                <c:pt idx="1">
                  <c:v>8000000</c:v>
                </c:pt>
                <c:pt idx="2">
                  <c:v>5000000</c:v>
                </c:pt>
                <c:pt idx="3">
                  <c:v>3000000</c:v>
                </c:pt>
                <c:pt idx="4">
                  <c:v>25000000</c:v>
                </c:pt>
                <c:pt idx="5">
                  <c:v>15000000</c:v>
                </c:pt>
                <c:pt idx="6">
                  <c:v>10000000</c:v>
                </c:pt>
                <c:pt idx="7">
                  <c:v>6000000</c:v>
                </c:pt>
                <c:pt idx="8">
                  <c:v>30000000</c:v>
                </c:pt>
                <c:pt idx="9">
                  <c:v>20000000</c:v>
                </c:pt>
                <c:pt idx="10">
                  <c:v>12000000</c:v>
                </c:pt>
                <c:pt idx="11">
                  <c:v>8000000</c:v>
                </c:pt>
                <c:pt idx="12">
                  <c:v>32000000</c:v>
                </c:pt>
                <c:pt idx="13">
                  <c:v>22000000</c:v>
                </c:pt>
                <c:pt idx="14">
                  <c:v>13000000</c:v>
                </c:pt>
                <c:pt idx="15">
                  <c:v>9000000</c:v>
                </c:pt>
                <c:pt idx="16">
                  <c:v>18000000</c:v>
                </c:pt>
                <c:pt idx="17">
                  <c:v>14000000</c:v>
                </c:pt>
                <c:pt idx="18">
                  <c:v>6000000</c:v>
                </c:pt>
                <c:pt idx="19">
                  <c:v>5000000</c:v>
                </c:pt>
                <c:pt idx="20">
                  <c:v>20000000</c:v>
                </c:pt>
                <c:pt idx="21">
                  <c:v>16000000</c:v>
                </c:pt>
                <c:pt idx="22">
                  <c:v>7000000</c:v>
                </c:pt>
                <c:pt idx="23">
                  <c:v>9000000</c:v>
                </c:pt>
                <c:pt idx="24">
                  <c:v>22000000</c:v>
                </c:pt>
                <c:pt idx="25">
                  <c:v>18000000</c:v>
                </c:pt>
                <c:pt idx="26">
                  <c:v>5000000</c:v>
                </c:pt>
                <c:pt idx="27">
                  <c:v>8000000</c:v>
                </c:pt>
                <c:pt idx="28">
                  <c:v>21000000</c:v>
                </c:pt>
                <c:pt idx="29">
                  <c:v>17500000</c:v>
                </c:pt>
                <c:pt idx="30">
                  <c:v>4500000</c:v>
                </c:pt>
                <c:pt idx="31">
                  <c:v>7500000</c:v>
                </c:pt>
                <c:pt idx="32">
                  <c:v>15000000</c:v>
                </c:pt>
                <c:pt idx="33">
                  <c:v>12000000</c:v>
                </c:pt>
                <c:pt idx="34">
                  <c:v>4000000</c:v>
                </c:pt>
                <c:pt idx="35">
                  <c:v>6000000</c:v>
                </c:pt>
                <c:pt idx="36">
                  <c:v>18000000</c:v>
                </c:pt>
                <c:pt idx="37">
                  <c:v>16000000</c:v>
                </c:pt>
                <c:pt idx="38">
                  <c:v>3000000</c:v>
                </c:pt>
                <c:pt idx="39">
                  <c:v>7000000</c:v>
                </c:pt>
                <c:pt idx="40">
                  <c:v>12000000</c:v>
                </c:pt>
                <c:pt idx="41">
                  <c:v>9000000</c:v>
                </c:pt>
                <c:pt idx="42">
                  <c:v>5000000</c:v>
                </c:pt>
                <c:pt idx="43">
                  <c:v>4000000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80-42D7-8A85-F35CBD34AAB7}"/>
            </c:ext>
          </c:extLst>
        </c:ser>
        <c:ser>
          <c:idx val="2"/>
          <c:order val="2"/>
          <c:tx>
            <c:v>Costo real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Datos!$B$3:$B$46</c:f>
              <c:numCache>
                <c:formatCode>m/d/yyyy</c:formatCode>
                <c:ptCount val="44"/>
                <c:pt idx="0">
                  <c:v>45689</c:v>
                </c:pt>
                <c:pt idx="1">
                  <c:v>45689</c:v>
                </c:pt>
                <c:pt idx="2">
                  <c:v>45689</c:v>
                </c:pt>
                <c:pt idx="3">
                  <c:v>45689</c:v>
                </c:pt>
                <c:pt idx="4">
                  <c:v>45696</c:v>
                </c:pt>
                <c:pt idx="5">
                  <c:v>45696</c:v>
                </c:pt>
                <c:pt idx="6">
                  <c:v>45696</c:v>
                </c:pt>
                <c:pt idx="7">
                  <c:v>45696</c:v>
                </c:pt>
                <c:pt idx="8">
                  <c:v>45703</c:v>
                </c:pt>
                <c:pt idx="9">
                  <c:v>45703</c:v>
                </c:pt>
                <c:pt idx="10">
                  <c:v>45703</c:v>
                </c:pt>
                <c:pt idx="11">
                  <c:v>45703</c:v>
                </c:pt>
                <c:pt idx="12">
                  <c:v>45710</c:v>
                </c:pt>
                <c:pt idx="13">
                  <c:v>45710</c:v>
                </c:pt>
                <c:pt idx="14">
                  <c:v>45710</c:v>
                </c:pt>
                <c:pt idx="15">
                  <c:v>45710</c:v>
                </c:pt>
                <c:pt idx="16">
                  <c:v>45717</c:v>
                </c:pt>
                <c:pt idx="17">
                  <c:v>45717</c:v>
                </c:pt>
                <c:pt idx="18">
                  <c:v>45717</c:v>
                </c:pt>
                <c:pt idx="19">
                  <c:v>45717</c:v>
                </c:pt>
                <c:pt idx="20">
                  <c:v>45724</c:v>
                </c:pt>
                <c:pt idx="21">
                  <c:v>45724</c:v>
                </c:pt>
                <c:pt idx="22">
                  <c:v>45724</c:v>
                </c:pt>
                <c:pt idx="23">
                  <c:v>45724</c:v>
                </c:pt>
                <c:pt idx="24">
                  <c:v>45731</c:v>
                </c:pt>
                <c:pt idx="25">
                  <c:v>45731</c:v>
                </c:pt>
                <c:pt idx="26">
                  <c:v>45731</c:v>
                </c:pt>
                <c:pt idx="27">
                  <c:v>45731</c:v>
                </c:pt>
                <c:pt idx="28">
                  <c:v>45738</c:v>
                </c:pt>
                <c:pt idx="29">
                  <c:v>45738</c:v>
                </c:pt>
                <c:pt idx="30">
                  <c:v>45738</c:v>
                </c:pt>
                <c:pt idx="31">
                  <c:v>45738</c:v>
                </c:pt>
                <c:pt idx="32">
                  <c:v>45745</c:v>
                </c:pt>
                <c:pt idx="33">
                  <c:v>45745</c:v>
                </c:pt>
                <c:pt idx="34">
                  <c:v>45745</c:v>
                </c:pt>
                <c:pt idx="35">
                  <c:v>45745</c:v>
                </c:pt>
                <c:pt idx="36">
                  <c:v>45752</c:v>
                </c:pt>
                <c:pt idx="37">
                  <c:v>45752</c:v>
                </c:pt>
                <c:pt idx="38">
                  <c:v>45752</c:v>
                </c:pt>
                <c:pt idx="39">
                  <c:v>45752</c:v>
                </c:pt>
                <c:pt idx="40">
                  <c:v>45759</c:v>
                </c:pt>
                <c:pt idx="41">
                  <c:v>45759</c:v>
                </c:pt>
                <c:pt idx="42">
                  <c:v>45759</c:v>
                </c:pt>
                <c:pt idx="43">
                  <c:v>45759</c:v>
                </c:pt>
              </c:numCache>
            </c:numRef>
          </c:xVal>
          <c:yVal>
            <c:numRef>
              <c:f>Datos!$G$3:$G$46</c:f>
              <c:numCache>
                <c:formatCode>"$"\ #,##0</c:formatCode>
                <c:ptCount val="44"/>
                <c:pt idx="0">
                  <c:v>11800000</c:v>
                </c:pt>
                <c:pt idx="1">
                  <c:v>9200000</c:v>
                </c:pt>
                <c:pt idx="2">
                  <c:v>4800000</c:v>
                </c:pt>
                <c:pt idx="3">
                  <c:v>3100000</c:v>
                </c:pt>
                <c:pt idx="4">
                  <c:v>27000000</c:v>
                </c:pt>
                <c:pt idx="5">
                  <c:v>15200000</c:v>
                </c:pt>
                <c:pt idx="6">
                  <c:v>9800000</c:v>
                </c:pt>
                <c:pt idx="7">
                  <c:v>6500000</c:v>
                </c:pt>
                <c:pt idx="8">
                  <c:v>34000000</c:v>
                </c:pt>
                <c:pt idx="9">
                  <c:v>21500000</c:v>
                </c:pt>
                <c:pt idx="10">
                  <c:v>13000000</c:v>
                </c:pt>
                <c:pt idx="11">
                  <c:v>8500000</c:v>
                </c:pt>
                <c:pt idx="12">
                  <c:v>35500000</c:v>
                </c:pt>
                <c:pt idx="13">
                  <c:v>23000000</c:v>
                </c:pt>
                <c:pt idx="14">
                  <c:v>14500000</c:v>
                </c:pt>
                <c:pt idx="15">
                  <c:v>9500000</c:v>
                </c:pt>
                <c:pt idx="16">
                  <c:v>19500000</c:v>
                </c:pt>
                <c:pt idx="17">
                  <c:v>13800000</c:v>
                </c:pt>
                <c:pt idx="18">
                  <c:v>6500000</c:v>
                </c:pt>
                <c:pt idx="19">
                  <c:v>5400000</c:v>
                </c:pt>
                <c:pt idx="20">
                  <c:v>21500000</c:v>
                </c:pt>
                <c:pt idx="21">
                  <c:v>17000000</c:v>
                </c:pt>
                <c:pt idx="22">
                  <c:v>7500000</c:v>
                </c:pt>
                <c:pt idx="23">
                  <c:v>9500000</c:v>
                </c:pt>
                <c:pt idx="24">
                  <c:v>25500000</c:v>
                </c:pt>
                <c:pt idx="25">
                  <c:v>19500000</c:v>
                </c:pt>
                <c:pt idx="26">
                  <c:v>5200000</c:v>
                </c:pt>
                <c:pt idx="27">
                  <c:v>8700000</c:v>
                </c:pt>
                <c:pt idx="28">
                  <c:v>24000000</c:v>
                </c:pt>
                <c:pt idx="29">
                  <c:v>19000000</c:v>
                </c:pt>
                <c:pt idx="30">
                  <c:v>4800000</c:v>
                </c:pt>
                <c:pt idx="31">
                  <c:v>8000000</c:v>
                </c:pt>
                <c:pt idx="32">
                  <c:v>16500000</c:v>
                </c:pt>
                <c:pt idx="33">
                  <c:v>13000000</c:v>
                </c:pt>
                <c:pt idx="34">
                  <c:v>4500000</c:v>
                </c:pt>
                <c:pt idx="35">
                  <c:v>6800000</c:v>
                </c:pt>
                <c:pt idx="36">
                  <c:v>20500000</c:v>
                </c:pt>
                <c:pt idx="37">
                  <c:v>17500000</c:v>
                </c:pt>
                <c:pt idx="38">
                  <c:v>3500000</c:v>
                </c:pt>
                <c:pt idx="39">
                  <c:v>7800000</c:v>
                </c:pt>
                <c:pt idx="40">
                  <c:v>13500000</c:v>
                </c:pt>
                <c:pt idx="41">
                  <c:v>10000000</c:v>
                </c:pt>
                <c:pt idx="42">
                  <c:v>5800000</c:v>
                </c:pt>
                <c:pt idx="43">
                  <c:v>4500000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80-42D7-8A85-F35CBD34A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146687"/>
        <c:axId val="2143149567"/>
      </c:scatterChart>
      <c:valAx>
        <c:axId val="214314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149567"/>
        <c:crosses val="autoZero"/>
        <c:crossBetween val="midCat"/>
      </c:valAx>
      <c:valAx>
        <c:axId val="214314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14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6</xdr:row>
      <xdr:rowOff>80010</xdr:rowOff>
    </xdr:from>
    <xdr:to>
      <xdr:col>9</xdr:col>
      <xdr:colOff>655320</xdr:colOff>
      <xdr:row>21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B4183D-08FA-577C-44B3-93AD09247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701040</xdr:colOff>
      <xdr:row>30</xdr:row>
      <xdr:rowOff>41910</xdr:rowOff>
    </xdr:from>
    <xdr:to>
      <xdr:col>9</xdr:col>
      <xdr:colOff>1684020</xdr:colOff>
      <xdr:row>45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0C3FA-62FA-742A-6FB8-40439C12F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182880</xdr:colOff>
      <xdr:row>47</xdr:row>
      <xdr:rowOff>87630</xdr:rowOff>
    </xdr:from>
    <xdr:to>
      <xdr:col>9</xdr:col>
      <xdr:colOff>1485900</xdr:colOff>
      <xdr:row>62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260C0C-D9B1-C709-D442-29A9F857F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167640</xdr:colOff>
      <xdr:row>63</xdr:row>
      <xdr:rowOff>11430</xdr:rowOff>
    </xdr:from>
    <xdr:to>
      <xdr:col>9</xdr:col>
      <xdr:colOff>1455420</xdr:colOff>
      <xdr:row>79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065D78-A798-83B8-D81E-017DBA30C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681318</xdr:colOff>
      <xdr:row>2</xdr:row>
      <xdr:rowOff>44824</xdr:rowOff>
    </xdr:from>
    <xdr:to>
      <xdr:col>7</xdr:col>
      <xdr:colOff>224117</xdr:colOff>
      <xdr:row>17</xdr:row>
      <xdr:rowOff>44823</xdr:rowOff>
    </xdr:to>
    <xdr:graphicFrame macro="">
      <xdr:nvGraphicFramePr>
        <xdr:cNvPr id="2" name="Gráfico 1" descr="Tipo de gráfico: Anillo. &quot;Estado&quot;: Sobrecosto representa la mayoría de la sección &quot;Presupuesto&quot;.&#10;&#10;Descripción generada automáticamente">
          <a:extLst>
            <a:ext uri="{FF2B5EF4-FFF2-40B4-BE49-F238E27FC236}">
              <a16:creationId xmlns:a16="http://schemas.microsoft.com/office/drawing/2014/main" id="{ED6EEE5A-73C5-4609-A894-8D4F05DE1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215153</xdr:colOff>
      <xdr:row>2</xdr:row>
      <xdr:rowOff>62753</xdr:rowOff>
    </xdr:from>
    <xdr:to>
      <xdr:col>14</xdr:col>
      <xdr:colOff>53789</xdr:colOff>
      <xdr:row>17</xdr:row>
      <xdr:rowOff>116541</xdr:rowOff>
    </xdr:to>
    <xdr:graphicFrame macro="">
      <xdr:nvGraphicFramePr>
        <xdr:cNvPr id="3" name="Gráfico 2" descr="Tipo de gráfico: Dispersión. Campo: Presupuesto y campo: Costo_Real parece estar muy correlacionado.&#10;&#10;Descripción generada automáticamente">
          <a:extLst>
            <a:ext uri="{FF2B5EF4-FFF2-40B4-BE49-F238E27FC236}">
              <a16:creationId xmlns:a16="http://schemas.microsoft.com/office/drawing/2014/main" id="{CB004246-3B51-4602-B703-28BF05D32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169106</xdr:colOff>
      <xdr:row>18</xdr:row>
      <xdr:rowOff>13039</xdr:rowOff>
    </xdr:from>
    <xdr:to>
      <xdr:col>7</xdr:col>
      <xdr:colOff>1385454</xdr:colOff>
      <xdr:row>36</xdr:row>
      <xdr:rowOff>138545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08D00F-1D3E-881D-D42D-E1F281D01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17</xdr:row>
      <xdr:rowOff>193963</xdr:rowOff>
    </xdr:from>
    <xdr:to>
      <xdr:col>14</xdr:col>
      <xdr:colOff>706582</xdr:colOff>
      <xdr:row>36</xdr:row>
      <xdr:rowOff>124690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CFD3B3B-C639-4935-A734-EA67EE24D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318653</xdr:colOff>
      <xdr:row>37</xdr:row>
      <xdr:rowOff>27709</xdr:rowOff>
    </xdr:from>
    <xdr:to>
      <xdr:col>7</xdr:col>
      <xdr:colOff>789709</xdr:colOff>
      <xdr:row>54</xdr:row>
      <xdr:rowOff>166254</xdr:rowOff>
    </xdr:to>
    <xdr:graphicFrame macro="">
      <xdr:nvGraphicFramePr>
        <xdr:cNvPr id="8" name="Gráfico 7" descr="Tipo de gráfico: Barras agrupadas. &quot;Presupuesto&quot; por &quot;Actividad&quot;&#10;&#10;Descripción generada automáticamente">
          <a:extLst>
            <a:ext uri="{FF2B5EF4-FFF2-40B4-BE49-F238E27FC236}">
              <a16:creationId xmlns:a16="http://schemas.microsoft.com/office/drawing/2014/main" id="{D75161E7-E529-4772-96E0-4B4146AAD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554182</xdr:colOff>
      <xdr:row>37</xdr:row>
      <xdr:rowOff>27709</xdr:rowOff>
    </xdr:from>
    <xdr:to>
      <xdr:col>13</xdr:col>
      <xdr:colOff>545869</xdr:colOff>
      <xdr:row>54</xdr:row>
      <xdr:rowOff>152400</xdr:rowOff>
    </xdr:to>
    <xdr:graphicFrame macro="">
      <xdr:nvGraphicFramePr>
        <xdr:cNvPr id="9" name="Gráfico 8" descr="Tipo de gráfico: Líneas. Para &quot;Estado: Ahorro&quot;, %Desviación aumenta con el tiempo.&#10;&#10;Descripción generada automáticamente">
          <a:extLst>
            <a:ext uri="{FF2B5EF4-FFF2-40B4-BE49-F238E27FC236}">
              <a16:creationId xmlns:a16="http://schemas.microsoft.com/office/drawing/2014/main" id="{A6C7F8F4-C68A-4D79-991B-EEFE50556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955964</xdr:colOff>
      <xdr:row>55</xdr:row>
      <xdr:rowOff>55419</xdr:rowOff>
    </xdr:from>
    <xdr:to>
      <xdr:col>13</xdr:col>
      <xdr:colOff>623455</xdr:colOff>
      <xdr:row>78</xdr:row>
      <xdr:rowOff>124691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F8AEC05-8F7B-939C-3B94-C4C450FE1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_Díaz" refreshedDate="46065.684472222223" createdVersion="8" refreshedVersion="8" minRefreshableVersion="3" recordCount="44" xr:uid="{36B21988-5AD4-471D-90B3-8DF9A34077A8}">
  <cacheSource type="worksheet">
    <worksheetSource ref="B2:J46" sheet="Datos"/>
  </cacheSource>
  <cacheFields count="9">
    <cacheField name="Fecha" numFmtId="14">
      <sharedItems containsSemiMixedTypes="0" containsNonDate="0" containsDate="1" containsString="0" minDate="2025-02-01T00:00:00" maxDate="2025-04-13T00:00:00" count="11">
        <d v="2025-02-01T00:00:00"/>
        <d v="2025-02-08T00:00:00"/>
        <d v="2025-02-15T00:00:00"/>
        <d v="2025-02-22T00:00:00"/>
        <d v="2025-03-01T00:00:00"/>
        <d v="2025-03-08T00:00:00"/>
        <d v="2025-03-15T00:00:00"/>
        <d v="2025-03-22T00:00:00"/>
        <d v="2025-03-29T00:00:00"/>
        <d v="2025-04-05T00:00:00"/>
        <d v="2025-04-12T00:00:00"/>
      </sharedItems>
    </cacheField>
    <cacheField name="Semana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Actividad" numFmtId="0">
      <sharedItems count="9">
        <s v="Excavación"/>
        <s v="Cimentación"/>
        <s v="Estructura"/>
        <s v="Mampostería"/>
        <s v="Instalaciones"/>
        <s v="Acabados"/>
        <s v="Cubierta"/>
        <s v="Acabados finales"/>
        <s v="Urbanismo"/>
      </sharedItems>
    </cacheField>
    <cacheField name="Rubro" numFmtId="0">
      <sharedItems count="4">
        <s v="Mano de obra"/>
        <s v="Equipos"/>
        <s v="Materiales"/>
        <s v="Subcontratos"/>
      </sharedItems>
    </cacheField>
    <cacheField name="Presupuesto" numFmtId="164">
      <sharedItems containsSemiMixedTypes="0" containsString="0" containsNumber="1" containsInteger="1" minValue="3000000" maxValue="32000000"/>
    </cacheField>
    <cacheField name="Costo_Real" numFmtId="164">
      <sharedItems containsSemiMixedTypes="0" containsString="0" containsNumber="1" containsInteger="1" minValue="3100000" maxValue="35500000"/>
    </cacheField>
    <cacheField name="Desviación" numFmtId="164">
      <sharedItems containsSemiMixedTypes="0" containsString="0" containsNumber="1" containsInteger="1" minValue="-200000" maxValue="4000000"/>
    </cacheField>
    <cacheField name="%Desviación" numFmtId="9">
      <sharedItems containsSemiMixedTypes="0" containsString="0" containsNumber="1" minValue="-0.04" maxValue="0.16666666666666666"/>
    </cacheField>
    <cacheField name="Estado" numFmtId="0">
      <sharedItems count="2">
        <s v="Ahorro"/>
        <s v="Sobrecosto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_Díaz" refreshedDate="46065.684476967595" createdVersion="8" refreshedVersion="8" minRefreshableVersion="3" recordCount="4" xr:uid="{D81B2295-1B16-4FB8-A64F-B796F6AA5C5F}">
  <cacheSource type="worksheet">
    <worksheetSource ref="B26:E30" sheet="Análisis de datos"/>
  </cacheSource>
  <cacheFields count="4">
    <cacheField name="Rubro" numFmtId="0">
      <sharedItems count="4">
        <s v="Equipos"/>
        <s v="Mano de obra"/>
        <s v="Materiales"/>
        <s v="Subcontratos"/>
      </sharedItems>
    </cacheField>
    <cacheField name="Suma de Presupuesto" numFmtId="164">
      <sharedItems containsSemiMixedTypes="0" containsString="0" containsNumber="1" containsInteger="1" minValue="72500000" maxValue="218000000"/>
    </cacheField>
    <cacheField name="Suma de Costo_Real" numFmtId="164">
      <sharedItems containsSemiMixedTypes="0" containsString="0" containsNumber="1" containsInteger="1" minValue="78300000" maxValue="242300000"/>
    </cacheField>
    <cacheField name="Suma de Desviación" numFmtId="164">
      <sharedItems containsSemiMixedTypes="0" containsString="0" containsNumber="1" containsInteger="1" minValue="5800000" maxValue="24300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_Díaz" refreshedDate="46065.684477314811" createdVersion="8" refreshedVersion="8" minRefreshableVersion="3" recordCount="9" xr:uid="{1A0BBD28-6176-434B-9CC3-80802F6F414E}">
  <cacheSource type="worksheet">
    <worksheetSource ref="B3:E12" sheet="Análisis de datos"/>
  </cacheSource>
  <cacheFields count="4">
    <cacheField name="Actividad" numFmtId="0">
      <sharedItems count="9">
        <s v="Acabados"/>
        <s v="Acabados finales"/>
        <s v="Cimentación"/>
        <s v="Cubierta"/>
        <s v="Estructura"/>
        <s v="Excavación"/>
        <s v="Instalaciones"/>
        <s v="Mampostería"/>
        <s v="Urbanismo"/>
      </sharedItems>
    </cacheField>
    <cacheField name="Suma de Presupuesto" numFmtId="164">
      <sharedItems containsSemiMixedTypes="0" containsString="0" containsNumber="1" containsInteger="1" minValue="28000000" maxValue="146000000"/>
    </cacheField>
    <cacheField name="Suma de Costo_Real" numFmtId="164">
      <sharedItems containsSemiMixedTypes="0" containsString="0" containsNumber="1" containsInteger="1" minValue="28900000" maxValue="159500000"/>
    </cacheField>
    <cacheField name="Suma de Desviación" numFmtId="164">
      <sharedItems containsSemiMixedTypes="0" containsString="0" containsNumber="1" containsInteger="1" minValue="900000" maxValue="13500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_Díaz" refreshedDate="46065.684477546296" createdVersion="8" refreshedVersion="8" minRefreshableVersion="3" recordCount="10" xr:uid="{88F3E537-395B-4212-8BAA-E84D2BB488D9}">
  <cacheSource type="worksheet">
    <worksheetSource ref="B49:F59" sheet="Análisis de datos"/>
  </cacheSource>
  <cacheFields count="5">
    <cacheField name="Etiquetas de fila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uma de Presupuesto" numFmtId="164">
      <sharedItems containsSemiMixedTypes="0" containsString="0" containsNumber="1" containsInteger="1" minValue="28000000" maxValue="76000000"/>
    </cacheField>
    <cacheField name="Suma de Costo_Real" numFmtId="164">
      <sharedItems containsSemiMixedTypes="0" containsString="0" containsNumber="1" containsInteger="1" minValue="28900000" maxValue="83100000"/>
    </cacheField>
    <cacheField name="Presupuesto Acumulado" numFmtId="164">
      <sharedItems containsSemiMixedTypes="0" containsString="0" containsNumber="1" containsInteger="1" minValue="28000000" maxValue="539500000"/>
    </cacheField>
    <cacheField name="Costo real acumulado" numFmtId="164">
      <sharedItems containsSemiMixedTypes="0" containsString="0" containsNumber="1" containsInteger="1" minValue="28900000" maxValue="586200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_Díaz" refreshedDate="46065.684477777781" createdVersion="8" refreshedVersion="8" minRefreshableVersion="3" recordCount="10" xr:uid="{ADC6AFD5-6EDD-48E1-934B-FF4C8A8165EA}">
  <cacheSource type="worksheet">
    <worksheetSource ref="B3:E13" sheet="Análisis de datos"/>
  </cacheSource>
  <cacheFields count="4">
    <cacheField name="Actividad" numFmtId="0">
      <sharedItems count="10">
        <s v="Acabados"/>
        <s v="Acabados finales"/>
        <s v="Cimentación"/>
        <s v="Cubierta"/>
        <s v="Estructura"/>
        <s v="Excavación"/>
        <s v="Instalaciones"/>
        <s v="Mampostería"/>
        <s v="Urbanismo"/>
        <s v="Total general"/>
      </sharedItems>
    </cacheField>
    <cacheField name="Suma de Presupuesto" numFmtId="164">
      <sharedItems containsSemiMixedTypes="0" containsString="0" containsNumber="1" containsInteger="1" minValue="28000000" maxValue="539500000"/>
    </cacheField>
    <cacheField name="Suma de Costo_Real" numFmtId="164">
      <sharedItems containsSemiMixedTypes="0" containsString="0" containsNumber="1" containsInteger="1" minValue="28900000" maxValue="586200000"/>
    </cacheField>
    <cacheField name="Suma de Desviación" numFmtId="164">
      <sharedItems containsSemiMixedTypes="0" containsString="0" containsNumber="1" containsInteger="1" minValue="900000" maxValue="46700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n v="12000000"/>
    <n v="11800000"/>
    <n v="-200000"/>
    <n v="-1.6666666666666666E-2"/>
    <x v="0"/>
  </r>
  <r>
    <x v="0"/>
    <x v="0"/>
    <x v="0"/>
    <x v="1"/>
    <n v="8000000"/>
    <n v="9200000"/>
    <n v="1200000"/>
    <n v="0.15"/>
    <x v="1"/>
  </r>
  <r>
    <x v="0"/>
    <x v="0"/>
    <x v="0"/>
    <x v="2"/>
    <n v="5000000"/>
    <n v="4800000"/>
    <n v="-200000"/>
    <n v="-0.04"/>
    <x v="0"/>
  </r>
  <r>
    <x v="0"/>
    <x v="0"/>
    <x v="0"/>
    <x v="3"/>
    <n v="3000000"/>
    <n v="3100000"/>
    <n v="100000"/>
    <n v="3.3333333333333333E-2"/>
    <x v="1"/>
  </r>
  <r>
    <x v="1"/>
    <x v="1"/>
    <x v="1"/>
    <x v="2"/>
    <n v="25000000"/>
    <n v="27000000"/>
    <n v="2000000"/>
    <n v="0.08"/>
    <x v="1"/>
  </r>
  <r>
    <x v="1"/>
    <x v="1"/>
    <x v="1"/>
    <x v="0"/>
    <n v="15000000"/>
    <n v="15200000"/>
    <n v="200000"/>
    <n v="1.3333333333333334E-2"/>
    <x v="1"/>
  </r>
  <r>
    <x v="1"/>
    <x v="1"/>
    <x v="1"/>
    <x v="1"/>
    <n v="10000000"/>
    <n v="9800000"/>
    <n v="-200000"/>
    <n v="-0.02"/>
    <x v="0"/>
  </r>
  <r>
    <x v="1"/>
    <x v="1"/>
    <x v="1"/>
    <x v="3"/>
    <n v="6000000"/>
    <n v="6500000"/>
    <n v="500000"/>
    <n v="8.3333333333333329E-2"/>
    <x v="1"/>
  </r>
  <r>
    <x v="2"/>
    <x v="2"/>
    <x v="2"/>
    <x v="2"/>
    <n v="30000000"/>
    <n v="34000000"/>
    <n v="4000000"/>
    <n v="0.13333333333333333"/>
    <x v="1"/>
  </r>
  <r>
    <x v="2"/>
    <x v="2"/>
    <x v="2"/>
    <x v="0"/>
    <n v="20000000"/>
    <n v="21500000"/>
    <n v="1500000"/>
    <n v="7.4999999999999997E-2"/>
    <x v="1"/>
  </r>
  <r>
    <x v="2"/>
    <x v="2"/>
    <x v="2"/>
    <x v="1"/>
    <n v="12000000"/>
    <n v="13000000"/>
    <n v="1000000"/>
    <n v="8.3333333333333329E-2"/>
    <x v="1"/>
  </r>
  <r>
    <x v="2"/>
    <x v="2"/>
    <x v="2"/>
    <x v="3"/>
    <n v="8000000"/>
    <n v="8500000"/>
    <n v="500000"/>
    <n v="6.25E-2"/>
    <x v="1"/>
  </r>
  <r>
    <x v="3"/>
    <x v="3"/>
    <x v="2"/>
    <x v="2"/>
    <n v="32000000"/>
    <n v="35500000"/>
    <n v="3500000"/>
    <n v="0.109375"/>
    <x v="1"/>
  </r>
  <r>
    <x v="3"/>
    <x v="3"/>
    <x v="2"/>
    <x v="0"/>
    <n v="22000000"/>
    <n v="23000000"/>
    <n v="1000000"/>
    <n v="4.5454545454545456E-2"/>
    <x v="1"/>
  </r>
  <r>
    <x v="3"/>
    <x v="3"/>
    <x v="2"/>
    <x v="1"/>
    <n v="13000000"/>
    <n v="14500000"/>
    <n v="1500000"/>
    <n v="0.11538461538461539"/>
    <x v="1"/>
  </r>
  <r>
    <x v="3"/>
    <x v="3"/>
    <x v="2"/>
    <x v="3"/>
    <n v="9000000"/>
    <n v="9500000"/>
    <n v="500000"/>
    <n v="5.5555555555555552E-2"/>
    <x v="1"/>
  </r>
  <r>
    <x v="4"/>
    <x v="4"/>
    <x v="3"/>
    <x v="2"/>
    <n v="18000000"/>
    <n v="19500000"/>
    <n v="1500000"/>
    <n v="8.3333333333333329E-2"/>
    <x v="1"/>
  </r>
  <r>
    <x v="4"/>
    <x v="4"/>
    <x v="3"/>
    <x v="0"/>
    <n v="14000000"/>
    <n v="13800000"/>
    <n v="-200000"/>
    <n v="-1.4285714285714285E-2"/>
    <x v="0"/>
  </r>
  <r>
    <x v="4"/>
    <x v="4"/>
    <x v="3"/>
    <x v="1"/>
    <n v="6000000"/>
    <n v="6500000"/>
    <n v="500000"/>
    <n v="8.3333333333333329E-2"/>
    <x v="1"/>
  </r>
  <r>
    <x v="4"/>
    <x v="4"/>
    <x v="3"/>
    <x v="3"/>
    <n v="5000000"/>
    <n v="5400000"/>
    <n v="400000"/>
    <n v="0.08"/>
    <x v="1"/>
  </r>
  <r>
    <x v="5"/>
    <x v="5"/>
    <x v="4"/>
    <x v="2"/>
    <n v="20000000"/>
    <n v="21500000"/>
    <n v="1500000"/>
    <n v="7.4999999999999997E-2"/>
    <x v="1"/>
  </r>
  <r>
    <x v="5"/>
    <x v="5"/>
    <x v="4"/>
    <x v="0"/>
    <n v="16000000"/>
    <n v="17000000"/>
    <n v="1000000"/>
    <n v="6.25E-2"/>
    <x v="1"/>
  </r>
  <r>
    <x v="5"/>
    <x v="5"/>
    <x v="4"/>
    <x v="1"/>
    <n v="7000000"/>
    <n v="7500000"/>
    <n v="500000"/>
    <n v="7.1428571428571425E-2"/>
    <x v="1"/>
  </r>
  <r>
    <x v="5"/>
    <x v="5"/>
    <x v="4"/>
    <x v="3"/>
    <n v="9000000"/>
    <n v="9500000"/>
    <n v="500000"/>
    <n v="5.5555555555555552E-2"/>
    <x v="1"/>
  </r>
  <r>
    <x v="6"/>
    <x v="6"/>
    <x v="5"/>
    <x v="2"/>
    <n v="22000000"/>
    <n v="25500000"/>
    <n v="3500000"/>
    <n v="0.15909090909090909"/>
    <x v="1"/>
  </r>
  <r>
    <x v="6"/>
    <x v="6"/>
    <x v="5"/>
    <x v="0"/>
    <n v="18000000"/>
    <n v="19500000"/>
    <n v="1500000"/>
    <n v="8.3333333333333329E-2"/>
    <x v="1"/>
  </r>
  <r>
    <x v="6"/>
    <x v="6"/>
    <x v="5"/>
    <x v="1"/>
    <n v="5000000"/>
    <n v="5200000"/>
    <n v="200000"/>
    <n v="0.04"/>
    <x v="1"/>
  </r>
  <r>
    <x v="6"/>
    <x v="6"/>
    <x v="5"/>
    <x v="3"/>
    <n v="8000000"/>
    <n v="8700000"/>
    <n v="700000"/>
    <n v="8.7499999999999994E-2"/>
    <x v="1"/>
  </r>
  <r>
    <x v="7"/>
    <x v="7"/>
    <x v="5"/>
    <x v="2"/>
    <n v="21000000"/>
    <n v="24000000"/>
    <n v="3000000"/>
    <n v="0.14285714285714285"/>
    <x v="1"/>
  </r>
  <r>
    <x v="7"/>
    <x v="7"/>
    <x v="5"/>
    <x v="0"/>
    <n v="17500000"/>
    <n v="19000000"/>
    <n v="1500000"/>
    <n v="8.5714285714285715E-2"/>
    <x v="1"/>
  </r>
  <r>
    <x v="7"/>
    <x v="7"/>
    <x v="5"/>
    <x v="1"/>
    <n v="4500000"/>
    <n v="4800000"/>
    <n v="300000"/>
    <n v="6.6666666666666666E-2"/>
    <x v="1"/>
  </r>
  <r>
    <x v="7"/>
    <x v="7"/>
    <x v="5"/>
    <x v="3"/>
    <n v="7500000"/>
    <n v="8000000"/>
    <n v="500000"/>
    <n v="6.6666666666666666E-2"/>
    <x v="1"/>
  </r>
  <r>
    <x v="8"/>
    <x v="8"/>
    <x v="6"/>
    <x v="2"/>
    <n v="15000000"/>
    <n v="16500000"/>
    <n v="1500000"/>
    <n v="0.1"/>
    <x v="1"/>
  </r>
  <r>
    <x v="8"/>
    <x v="8"/>
    <x v="6"/>
    <x v="0"/>
    <n v="12000000"/>
    <n v="13000000"/>
    <n v="1000000"/>
    <n v="8.3333333333333329E-2"/>
    <x v="1"/>
  </r>
  <r>
    <x v="8"/>
    <x v="8"/>
    <x v="6"/>
    <x v="1"/>
    <n v="4000000"/>
    <n v="4500000"/>
    <n v="500000"/>
    <n v="0.125"/>
    <x v="1"/>
  </r>
  <r>
    <x v="8"/>
    <x v="8"/>
    <x v="6"/>
    <x v="3"/>
    <n v="6000000"/>
    <n v="6800000"/>
    <n v="800000"/>
    <n v="0.13333333333333333"/>
    <x v="1"/>
  </r>
  <r>
    <x v="9"/>
    <x v="9"/>
    <x v="7"/>
    <x v="2"/>
    <n v="18000000"/>
    <n v="20500000"/>
    <n v="2500000"/>
    <n v="0.1388888888888889"/>
    <x v="1"/>
  </r>
  <r>
    <x v="9"/>
    <x v="9"/>
    <x v="7"/>
    <x v="0"/>
    <n v="16000000"/>
    <n v="17500000"/>
    <n v="1500000"/>
    <n v="9.375E-2"/>
    <x v="1"/>
  </r>
  <r>
    <x v="9"/>
    <x v="9"/>
    <x v="7"/>
    <x v="1"/>
    <n v="3000000"/>
    <n v="3500000"/>
    <n v="500000"/>
    <n v="0.16666666666666666"/>
    <x v="1"/>
  </r>
  <r>
    <x v="9"/>
    <x v="9"/>
    <x v="7"/>
    <x v="3"/>
    <n v="7000000"/>
    <n v="7800000"/>
    <n v="800000"/>
    <n v="0.11428571428571428"/>
    <x v="1"/>
  </r>
  <r>
    <x v="10"/>
    <x v="9"/>
    <x v="8"/>
    <x v="2"/>
    <n v="12000000"/>
    <n v="13500000"/>
    <n v="1500000"/>
    <n v="0.125"/>
    <x v="1"/>
  </r>
  <r>
    <x v="10"/>
    <x v="9"/>
    <x v="8"/>
    <x v="0"/>
    <n v="9000000"/>
    <n v="10000000"/>
    <n v="1000000"/>
    <n v="0.1111111111111111"/>
    <x v="1"/>
  </r>
  <r>
    <x v="10"/>
    <x v="9"/>
    <x v="8"/>
    <x v="1"/>
    <n v="5000000"/>
    <n v="5800000"/>
    <n v="800000"/>
    <n v="0.16"/>
    <x v="1"/>
  </r>
  <r>
    <x v="10"/>
    <x v="9"/>
    <x v="8"/>
    <x v="3"/>
    <n v="4000000"/>
    <n v="4500000"/>
    <n v="500000"/>
    <n v="0.12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7500000"/>
    <n v="84300000"/>
    <n v="6800000"/>
  </r>
  <r>
    <x v="1"/>
    <n v="171500000"/>
    <n v="181300000"/>
    <n v="9800000"/>
  </r>
  <r>
    <x v="2"/>
    <n v="218000000"/>
    <n v="242300000"/>
    <n v="24300000"/>
  </r>
  <r>
    <x v="3"/>
    <n v="72500000"/>
    <n v="78300000"/>
    <n v="580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03500000"/>
    <n v="114700000"/>
    <n v="11200000"/>
  </r>
  <r>
    <x v="1"/>
    <n v="44000000"/>
    <n v="49300000"/>
    <n v="5300000"/>
  </r>
  <r>
    <x v="2"/>
    <n v="56000000"/>
    <n v="58500000"/>
    <n v="2500000"/>
  </r>
  <r>
    <x v="3"/>
    <n v="37000000"/>
    <n v="40800000"/>
    <n v="3800000"/>
  </r>
  <r>
    <x v="4"/>
    <n v="146000000"/>
    <n v="159500000"/>
    <n v="13500000"/>
  </r>
  <r>
    <x v="5"/>
    <n v="28000000"/>
    <n v="28900000"/>
    <n v="900000"/>
  </r>
  <r>
    <x v="6"/>
    <n v="52000000"/>
    <n v="55500000"/>
    <n v="3500000"/>
  </r>
  <r>
    <x v="7"/>
    <n v="43000000"/>
    <n v="45200000"/>
    <n v="2200000"/>
  </r>
  <r>
    <x v="8"/>
    <n v="30000000"/>
    <n v="33800000"/>
    <n v="380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8000000"/>
    <n v="28900000"/>
    <n v="28000000"/>
    <n v="28900000"/>
  </r>
  <r>
    <x v="1"/>
    <n v="56000000"/>
    <n v="58500000"/>
    <n v="84000000"/>
    <n v="87400000"/>
  </r>
  <r>
    <x v="2"/>
    <n v="70000000"/>
    <n v="77000000"/>
    <n v="154000000"/>
    <n v="164400000"/>
  </r>
  <r>
    <x v="3"/>
    <n v="76000000"/>
    <n v="82500000"/>
    <n v="230000000"/>
    <n v="246900000"/>
  </r>
  <r>
    <x v="4"/>
    <n v="43000000"/>
    <n v="45200000"/>
    <n v="273000000"/>
    <n v="292100000"/>
  </r>
  <r>
    <x v="5"/>
    <n v="52000000"/>
    <n v="55500000"/>
    <n v="325000000"/>
    <n v="347600000"/>
  </r>
  <r>
    <x v="6"/>
    <n v="53000000"/>
    <n v="58900000"/>
    <n v="378000000"/>
    <n v="406500000"/>
  </r>
  <r>
    <x v="7"/>
    <n v="50500000"/>
    <n v="55800000"/>
    <n v="428500000"/>
    <n v="462300000"/>
  </r>
  <r>
    <x v="8"/>
    <n v="37000000"/>
    <n v="40800000"/>
    <n v="465500000"/>
    <n v="503100000"/>
  </r>
  <r>
    <x v="9"/>
    <n v="74000000"/>
    <n v="83100000"/>
    <n v="539500000"/>
    <n v="586200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03500000"/>
    <n v="114700000"/>
    <n v="11200000"/>
  </r>
  <r>
    <x v="1"/>
    <n v="44000000"/>
    <n v="49300000"/>
    <n v="5300000"/>
  </r>
  <r>
    <x v="2"/>
    <n v="56000000"/>
    <n v="58500000"/>
    <n v="2500000"/>
  </r>
  <r>
    <x v="3"/>
    <n v="37000000"/>
    <n v="40800000"/>
    <n v="3800000"/>
  </r>
  <r>
    <x v="4"/>
    <n v="146000000"/>
    <n v="159500000"/>
    <n v="13500000"/>
  </r>
  <r>
    <x v="5"/>
    <n v="28000000"/>
    <n v="28900000"/>
    <n v="900000"/>
  </r>
  <r>
    <x v="6"/>
    <n v="52000000"/>
    <n v="55500000"/>
    <n v="3500000"/>
  </r>
  <r>
    <x v="7"/>
    <n v="43000000"/>
    <n v="45200000"/>
    <n v="2200000"/>
  </r>
  <r>
    <x v="8"/>
    <n v="30000000"/>
    <n v="33800000"/>
    <n v="3800000"/>
  </r>
  <r>
    <x v="9"/>
    <n v="539500000"/>
    <n v="586200000"/>
    <n v="467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3CE15-03B3-4405-9111-790DAEB15464}" name="TablaDinámica4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B49:D60" firstHeaderRow="0" firstDataRow="1" firstDataCol="1"/>
  <pivotFields count="9">
    <pivotField numFmtId="1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numFmtId="164" showAll="0"/>
    <pivotField dataField="1" numFmtId="164" showAll="0"/>
    <pivotField numFmtId="164" showAll="0"/>
    <pivotField numFmtId="9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" fld="4" baseField="0" baseItem="0" numFmtId="164"/>
    <dataField name="Suma de Costo_Real" fld="5" baseField="0" baseItem="0" numFmtId="164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DBD96-8059-4626-A77A-E32A511441E1}" name="TablaDinámica2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G28:I29" firstHeaderRow="0" firstDataRow="1" firstDataCol="0" rowPageCount="1" colPageCount="1"/>
  <pivotFields count="4">
    <pivotField axis="axisPage" showAll="0">
      <items count="5">
        <item x="0"/>
        <item x="1"/>
        <item x="2"/>
        <item x="3"/>
        <item t="default"/>
      </items>
    </pivotField>
    <pivotField dataField="1" numFmtId="164"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a de Presupuesto." fld="1" baseField="0" baseItem="0" numFmtId="164"/>
    <dataField name="Suma de  Costo_Real." fld="2" baseField="0" baseItem="0" numFmtId="164"/>
    <dataField name="Suma de Desviación." fld="3" baseField="0" baseItem="0" numFmtId="164"/>
  </dataFields>
  <formats count="15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66182-0480-43B8-BE27-B78526B7E3F3}" name="TablaDinámica1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Actividad">
  <location ref="B3:E13" firstHeaderRow="0" firstDataRow="1" firstDataCol="1"/>
  <pivotFields count="9">
    <pivotField numFmtId="14" showAll="0"/>
    <pivotField showAll="0"/>
    <pivotField axis="axisRow" showAll="0">
      <items count="10">
        <item x="5"/>
        <item x="7"/>
        <item x="1"/>
        <item x="6"/>
        <item x="2"/>
        <item x="0"/>
        <item x="4"/>
        <item x="3"/>
        <item x="8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numFmtId="9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esupuesto" fld="4" baseField="0" baseItem="0" numFmtId="164"/>
    <dataField name="Suma de Costo_Real" fld="5" baseField="0" baseItem="0" numFmtId="164"/>
    <dataField name="Suma de Desviación" fld="6" baseField="0" baseItem="0" numFmtId="164"/>
  </dataFields>
  <formats count="30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2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5E18B-405A-4F92-A05A-6C82E2932E39}" name="TablaDinámica6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8">
  <location ref="G4:I5" firstHeaderRow="0" firstDataRow="1" firstDataCol="0" rowPageCount="1" colPageCount="1"/>
  <pivotFields count="4">
    <pivotField axis="axisPage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64"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a de Presupuesto" fld="1" baseField="0" baseItem="0" numFmtId="164"/>
    <dataField name="Suma de Costo_Real" fld="2" baseField="0" baseItem="0" numFmtId="164"/>
    <dataField name="Suma de Desviación" fld="3" baseField="0" baseItem="0" numFmtId="164"/>
  </dataFields>
  <formats count="9"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C885C-FABA-42F7-AEDE-00EE8F205581}" name="TablaDinámica3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ubro">
  <location ref="B26:E31" firstHeaderRow="0" firstDataRow="1" firstDataCol="1"/>
  <pivotFields count="9">
    <pivotField numFmtId="14" showAll="0"/>
    <pivotField showAll="0"/>
    <pivotField showAll="0">
      <items count="10">
        <item x="5"/>
        <item x="7"/>
        <item x="1"/>
        <item x="6"/>
        <item x="2"/>
        <item x="0"/>
        <item x="4"/>
        <item x="3"/>
        <item x="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numFmtId="164" showAll="0"/>
    <pivotField dataField="1" numFmtId="164" showAll="0"/>
    <pivotField dataField="1" numFmtId="164" showAll="0"/>
    <pivotField numFmtId="9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esupuesto" fld="4" baseField="0" baseItem="0" numFmtId="164"/>
    <dataField name="Suma de Costo_Real" fld="5" baseField="0" baseItem="0" numFmtId="164"/>
    <dataField name="Suma de Desviación" fld="6" baseField="0" baseItem="0" numFmtId="164"/>
  </dataFields>
  <formats count="33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/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2" type="button" dataOnly="0" labelOnly="1" outline="0"/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2" type="button" dataOnly="0" labelOnly="1" outline="0"/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3" type="button" dataOnly="0" labelOnly="1" outline="0" axis="axisRow" fieldPosition="0"/>
    </format>
    <format dxfId="86">
      <pivotArea dataOnly="0" labelOnly="1" fieldPosition="0">
        <references count="1">
          <reference field="3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3" type="button" dataOnly="0" labelOnly="1" outline="0" axis="axisRow" fieldPosition="0"/>
    </format>
    <format dxfId="80">
      <pivotArea dataOnly="0" labelOnly="1" fieldPosition="0">
        <references count="1">
          <reference field="3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3" type="button" dataOnly="0" labelOnly="1" outline="0" axis="axisRow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09C84-E3A2-42EF-BB5C-559E7F5AC1F9}" name="TablaDinámica5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1" rowHeaderCaption="Semana">
  <location ref="B65:D76" firstHeaderRow="0" firstDataRow="1" firstDataCol="1"/>
  <pivotFields count="5">
    <pivotField name="Semana"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dataField="1" numFmtId="164" showAll="0"/>
    <pivotField dataField="1"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Acumulado" fld="3" baseField="0" baseItem="0" numFmtId="164"/>
    <dataField name="Suma de Costo real acumulado" fld="4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5B338-5F99-4095-A5E3-463C385867B7}" name="TablaDinámica7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J102:K106" firstHeaderRow="1" firstDataRow="1" firstDataCol="1" rowPageCount="1" colPageCount="1"/>
  <pivotFields count="9">
    <pivotField axis="axisRow" compact="0" numFmtId="14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9" outline="0" showAll="0"/>
    <pivotField axis="axisPage" compact="0" outline="0" multipleItemSelectionAllowed="1" showAll="0">
      <items count="3">
        <item x="0"/>
        <item h="1" x="1"/>
        <item t="default"/>
      </items>
    </pivotField>
  </pivotFields>
  <rowFields count="1">
    <field x="0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8" hier="-1"/>
  </pageFields>
  <dataFields count="1">
    <dataField name="Promedio de %Desviación" fld="7" subtotal="average" baseField="0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CF9FC-76D0-4B50-9C7D-A4C5FE46564C}" name="TablaDinámica6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B83:C93" firstHeaderRow="1" firstDataRow="1" firstDataCol="1"/>
  <pivotFields count="9">
    <pivotField compact="0" numFmtId="14" outline="0" showAll="0"/>
    <pivotField compact="0" outline="0" showAll="0"/>
    <pivotField axis="axisRow" compact="0" outline="0" showAll="0" sortType="descending">
      <items count="10">
        <item x="5"/>
        <item x="7"/>
        <item x="1"/>
        <item x="6"/>
        <item x="2"/>
        <item x="0"/>
        <item x="4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</pivotFields>
  <rowFields count="1">
    <field x="2"/>
  </rowFields>
  <rowItems count="10">
    <i>
      <x v="4"/>
    </i>
    <i>
      <x/>
    </i>
    <i>
      <x v="2"/>
    </i>
    <i>
      <x v="6"/>
    </i>
    <i>
      <x v="1"/>
    </i>
    <i>
      <x v="7"/>
    </i>
    <i>
      <x v="3"/>
    </i>
    <i>
      <x v="8"/>
    </i>
    <i>
      <x v="5"/>
    </i>
    <i t="grand">
      <x/>
    </i>
  </rowItems>
  <colItems count="1">
    <i/>
  </colItems>
  <dataFields count="1">
    <dataField name="Suma de Presupuesto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69E71-FDF8-49E4-A4A2-714BFC3B20A2}" name="TablaDinámica5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2">
  <location ref="J85:M95" firstHeaderRow="0" firstDataRow="1" firstDataCol="1"/>
  <pivotFields count="4">
    <pivotField axis="axisRow" showAll="0">
      <items count="11">
        <item x="0"/>
        <item x="1"/>
        <item x="2"/>
        <item x="3"/>
        <item x="4"/>
        <item x="5"/>
        <item x="6"/>
        <item x="7"/>
        <item h="1" x="9"/>
        <item x="8"/>
        <item t="default"/>
      </items>
    </pivotField>
    <pivotField dataField="1" numFmtId="164" showAll="0"/>
    <pivotField dataField="1" numFmtId="164" showAll="0"/>
    <pivotField dataField="1" numFmtId="16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uma de Presupuesto" fld="1" baseField="0" baseItem="0" numFmtId="164"/>
    <dataField name="Suma de Suma de Costo_Real" fld="2" baseField="0" baseItem="0" numFmtId="164"/>
    <dataField name="Suma de Suma de Desviación" fld="3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4A63C-8518-489F-B087-CAFADD361639}" name="TablaDinámica1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98:C101" firstHeaderRow="1" firstDataRow="1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9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3">
    <i>
      <x v="1"/>
    </i>
    <i>
      <x/>
    </i>
    <i t="grand">
      <x/>
    </i>
  </rowItems>
  <colItems count="1">
    <i/>
  </colItems>
  <dataFields count="1">
    <dataField name="Suma de Presupuesto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15DB42-152A-4E17-9624-38713085A8EB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1dHlDlGGQDwazBVdT_--k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B4B2F7C-8DAD-4804-8851-50F2CE5BB8C5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1157-8D56-4FA4-AF3A-2E62D3692D57}">
  <dimension ref="B2:J46"/>
  <sheetViews>
    <sheetView workbookViewId="0">
      <selection activeCell="F38" sqref="F38"/>
    </sheetView>
  </sheetViews>
  <sheetFormatPr baseColWidth="10" defaultRowHeight="14.4" x14ac:dyDescent="0.3"/>
  <cols>
    <col min="1" max="1" width="3.33203125" style="1" customWidth="1"/>
    <col min="2" max="10" width="16.21875" style="1" customWidth="1"/>
    <col min="11" max="16384" width="11.5546875" style="1"/>
  </cols>
  <sheetData>
    <row r="2" spans="2:10" ht="23.4" customHeight="1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19</v>
      </c>
      <c r="I2" s="6" t="s">
        <v>21</v>
      </c>
      <c r="J2" s="6" t="s">
        <v>20</v>
      </c>
    </row>
    <row r="3" spans="2:10" x14ac:dyDescent="0.3">
      <c r="B3" s="2">
        <v>45689</v>
      </c>
      <c r="C3" s="3">
        <v>1</v>
      </c>
      <c r="D3" s="3" t="s">
        <v>6</v>
      </c>
      <c r="E3" s="3" t="s">
        <v>7</v>
      </c>
      <c r="F3" s="4">
        <v>12000000</v>
      </c>
      <c r="G3" s="4">
        <v>11800000</v>
      </c>
      <c r="H3" s="4">
        <f>G3-F3</f>
        <v>-200000</v>
      </c>
      <c r="I3" s="5">
        <f>IFERROR(((G3-F3)/F3),0)</f>
        <v>-1.6666666666666666E-2</v>
      </c>
      <c r="J3" s="3" t="str">
        <f>IF(H3&gt;0,"Sobrecosto",IF(H3&lt;0,"Ahorro","Sin variación"))</f>
        <v>Ahorro</v>
      </c>
    </row>
    <row r="4" spans="2:10" x14ac:dyDescent="0.3">
      <c r="B4" s="2">
        <v>45689</v>
      </c>
      <c r="C4" s="3">
        <v>1</v>
      </c>
      <c r="D4" s="3" t="s">
        <v>6</v>
      </c>
      <c r="E4" s="3" t="s">
        <v>8</v>
      </c>
      <c r="F4" s="4">
        <v>8000000</v>
      </c>
      <c r="G4" s="4">
        <v>9200000</v>
      </c>
      <c r="H4" s="4">
        <f t="shared" ref="H4:H46" si="0">G4-F4</f>
        <v>1200000</v>
      </c>
      <c r="I4" s="5">
        <f t="shared" ref="I4:I46" si="1">IFERROR(((G4-F4)/F4),0)</f>
        <v>0.15</v>
      </c>
      <c r="J4" s="3" t="str">
        <f t="shared" ref="J4:J46" si="2">IF(H4&gt;0,"Sobrecosto",IF(H4&lt;0,"Ahorro","Sin variación"))</f>
        <v>Sobrecosto</v>
      </c>
    </row>
    <row r="5" spans="2:10" x14ac:dyDescent="0.3">
      <c r="B5" s="2">
        <v>45689</v>
      </c>
      <c r="C5" s="3">
        <v>1</v>
      </c>
      <c r="D5" s="3" t="s">
        <v>6</v>
      </c>
      <c r="E5" s="3" t="s">
        <v>9</v>
      </c>
      <c r="F5" s="4">
        <v>5000000</v>
      </c>
      <c r="G5" s="4">
        <v>4800000</v>
      </c>
      <c r="H5" s="4">
        <f t="shared" si="0"/>
        <v>-200000</v>
      </c>
      <c r="I5" s="5">
        <f t="shared" si="1"/>
        <v>-0.04</v>
      </c>
      <c r="J5" s="3" t="str">
        <f t="shared" si="2"/>
        <v>Ahorro</v>
      </c>
    </row>
    <row r="6" spans="2:10" x14ac:dyDescent="0.3">
      <c r="B6" s="2">
        <v>45689</v>
      </c>
      <c r="C6" s="3">
        <v>1</v>
      </c>
      <c r="D6" s="3" t="s">
        <v>6</v>
      </c>
      <c r="E6" s="3" t="s">
        <v>10</v>
      </c>
      <c r="F6" s="4">
        <v>3000000</v>
      </c>
      <c r="G6" s="4">
        <v>3100000</v>
      </c>
      <c r="H6" s="4">
        <f t="shared" si="0"/>
        <v>100000</v>
      </c>
      <c r="I6" s="5">
        <f t="shared" si="1"/>
        <v>3.3333333333333333E-2</v>
      </c>
      <c r="J6" s="3" t="str">
        <f t="shared" si="2"/>
        <v>Sobrecosto</v>
      </c>
    </row>
    <row r="7" spans="2:10" x14ac:dyDescent="0.3">
      <c r="B7" s="2">
        <v>45696</v>
      </c>
      <c r="C7" s="3">
        <v>2</v>
      </c>
      <c r="D7" s="3" t="s">
        <v>11</v>
      </c>
      <c r="E7" s="3" t="s">
        <v>9</v>
      </c>
      <c r="F7" s="4">
        <v>25000000</v>
      </c>
      <c r="G7" s="4">
        <v>27000000</v>
      </c>
      <c r="H7" s="4">
        <f t="shared" si="0"/>
        <v>2000000</v>
      </c>
      <c r="I7" s="5">
        <f t="shared" si="1"/>
        <v>0.08</v>
      </c>
      <c r="J7" s="3" t="str">
        <f t="shared" si="2"/>
        <v>Sobrecosto</v>
      </c>
    </row>
    <row r="8" spans="2:10" x14ac:dyDescent="0.3">
      <c r="B8" s="2">
        <v>45696</v>
      </c>
      <c r="C8" s="3">
        <v>2</v>
      </c>
      <c r="D8" s="3" t="s">
        <v>11</v>
      </c>
      <c r="E8" s="3" t="s">
        <v>7</v>
      </c>
      <c r="F8" s="4">
        <v>15000000</v>
      </c>
      <c r="G8" s="4">
        <v>15200000</v>
      </c>
      <c r="H8" s="4">
        <f t="shared" si="0"/>
        <v>200000</v>
      </c>
      <c r="I8" s="5">
        <f t="shared" si="1"/>
        <v>1.3333333333333334E-2</v>
      </c>
      <c r="J8" s="3" t="str">
        <f t="shared" si="2"/>
        <v>Sobrecosto</v>
      </c>
    </row>
    <row r="9" spans="2:10" x14ac:dyDescent="0.3">
      <c r="B9" s="2">
        <v>45696</v>
      </c>
      <c r="C9" s="3">
        <v>2</v>
      </c>
      <c r="D9" s="3" t="s">
        <v>11</v>
      </c>
      <c r="E9" s="3" t="s">
        <v>8</v>
      </c>
      <c r="F9" s="4">
        <v>10000000</v>
      </c>
      <c r="G9" s="4">
        <v>9800000</v>
      </c>
      <c r="H9" s="4">
        <f t="shared" si="0"/>
        <v>-200000</v>
      </c>
      <c r="I9" s="5">
        <f t="shared" si="1"/>
        <v>-0.02</v>
      </c>
      <c r="J9" s="3" t="str">
        <f t="shared" si="2"/>
        <v>Ahorro</v>
      </c>
    </row>
    <row r="10" spans="2:10" x14ac:dyDescent="0.3">
      <c r="B10" s="2">
        <v>45696</v>
      </c>
      <c r="C10" s="3">
        <v>2</v>
      </c>
      <c r="D10" s="3" t="s">
        <v>11</v>
      </c>
      <c r="E10" s="3" t="s">
        <v>10</v>
      </c>
      <c r="F10" s="4">
        <v>6000000</v>
      </c>
      <c r="G10" s="4">
        <v>6500000</v>
      </c>
      <c r="H10" s="4">
        <f t="shared" si="0"/>
        <v>500000</v>
      </c>
      <c r="I10" s="5">
        <f t="shared" si="1"/>
        <v>8.3333333333333329E-2</v>
      </c>
      <c r="J10" s="3" t="str">
        <f t="shared" si="2"/>
        <v>Sobrecosto</v>
      </c>
    </row>
    <row r="11" spans="2:10" x14ac:dyDescent="0.3">
      <c r="B11" s="2">
        <v>45703</v>
      </c>
      <c r="C11" s="3">
        <v>3</v>
      </c>
      <c r="D11" s="3" t="s">
        <v>12</v>
      </c>
      <c r="E11" s="3" t="s">
        <v>9</v>
      </c>
      <c r="F11" s="4">
        <v>30000000</v>
      </c>
      <c r="G11" s="4">
        <v>34000000</v>
      </c>
      <c r="H11" s="4">
        <f t="shared" si="0"/>
        <v>4000000</v>
      </c>
      <c r="I11" s="5">
        <f t="shared" si="1"/>
        <v>0.13333333333333333</v>
      </c>
      <c r="J11" s="3" t="str">
        <f t="shared" si="2"/>
        <v>Sobrecosto</v>
      </c>
    </row>
    <row r="12" spans="2:10" x14ac:dyDescent="0.3">
      <c r="B12" s="2">
        <v>45703</v>
      </c>
      <c r="C12" s="3">
        <v>3</v>
      </c>
      <c r="D12" s="3" t="s">
        <v>12</v>
      </c>
      <c r="E12" s="3" t="s">
        <v>7</v>
      </c>
      <c r="F12" s="4">
        <v>20000000</v>
      </c>
      <c r="G12" s="4">
        <v>21500000</v>
      </c>
      <c r="H12" s="4">
        <f t="shared" si="0"/>
        <v>1500000</v>
      </c>
      <c r="I12" s="5">
        <f t="shared" si="1"/>
        <v>7.4999999999999997E-2</v>
      </c>
      <c r="J12" s="3" t="str">
        <f t="shared" si="2"/>
        <v>Sobrecosto</v>
      </c>
    </row>
    <row r="13" spans="2:10" x14ac:dyDescent="0.3">
      <c r="B13" s="2">
        <v>45703</v>
      </c>
      <c r="C13" s="3">
        <v>3</v>
      </c>
      <c r="D13" s="3" t="s">
        <v>12</v>
      </c>
      <c r="E13" s="3" t="s">
        <v>8</v>
      </c>
      <c r="F13" s="4">
        <v>12000000</v>
      </c>
      <c r="G13" s="4">
        <v>13000000</v>
      </c>
      <c r="H13" s="4">
        <f t="shared" si="0"/>
        <v>1000000</v>
      </c>
      <c r="I13" s="5">
        <f t="shared" si="1"/>
        <v>8.3333333333333329E-2</v>
      </c>
      <c r="J13" s="3" t="str">
        <f t="shared" si="2"/>
        <v>Sobrecosto</v>
      </c>
    </row>
    <row r="14" spans="2:10" x14ac:dyDescent="0.3">
      <c r="B14" s="2">
        <v>45703</v>
      </c>
      <c r="C14" s="3">
        <v>3</v>
      </c>
      <c r="D14" s="3" t="s">
        <v>12</v>
      </c>
      <c r="E14" s="3" t="s">
        <v>10</v>
      </c>
      <c r="F14" s="4">
        <v>8000000</v>
      </c>
      <c r="G14" s="4">
        <v>8500000</v>
      </c>
      <c r="H14" s="4">
        <f t="shared" si="0"/>
        <v>500000</v>
      </c>
      <c r="I14" s="5">
        <f t="shared" si="1"/>
        <v>6.25E-2</v>
      </c>
      <c r="J14" s="3" t="str">
        <f t="shared" si="2"/>
        <v>Sobrecosto</v>
      </c>
    </row>
    <row r="15" spans="2:10" x14ac:dyDescent="0.3">
      <c r="B15" s="2">
        <v>45710</v>
      </c>
      <c r="C15" s="3">
        <v>4</v>
      </c>
      <c r="D15" s="3" t="s">
        <v>12</v>
      </c>
      <c r="E15" s="3" t="s">
        <v>9</v>
      </c>
      <c r="F15" s="4">
        <v>32000000</v>
      </c>
      <c r="G15" s="4">
        <v>35500000</v>
      </c>
      <c r="H15" s="4">
        <f t="shared" si="0"/>
        <v>3500000</v>
      </c>
      <c r="I15" s="5">
        <f t="shared" si="1"/>
        <v>0.109375</v>
      </c>
      <c r="J15" s="3" t="str">
        <f t="shared" si="2"/>
        <v>Sobrecosto</v>
      </c>
    </row>
    <row r="16" spans="2:10" x14ac:dyDescent="0.3">
      <c r="B16" s="2">
        <v>45710</v>
      </c>
      <c r="C16" s="3">
        <v>4</v>
      </c>
      <c r="D16" s="3" t="s">
        <v>12</v>
      </c>
      <c r="E16" s="3" t="s">
        <v>7</v>
      </c>
      <c r="F16" s="4">
        <v>22000000</v>
      </c>
      <c r="G16" s="4">
        <v>23000000</v>
      </c>
      <c r="H16" s="4">
        <f t="shared" si="0"/>
        <v>1000000</v>
      </c>
      <c r="I16" s="5">
        <f t="shared" si="1"/>
        <v>4.5454545454545456E-2</v>
      </c>
      <c r="J16" s="3" t="str">
        <f t="shared" si="2"/>
        <v>Sobrecosto</v>
      </c>
    </row>
    <row r="17" spans="2:10" x14ac:dyDescent="0.3">
      <c r="B17" s="2">
        <v>45710</v>
      </c>
      <c r="C17" s="3">
        <v>4</v>
      </c>
      <c r="D17" s="3" t="s">
        <v>12</v>
      </c>
      <c r="E17" s="3" t="s">
        <v>8</v>
      </c>
      <c r="F17" s="4">
        <v>13000000</v>
      </c>
      <c r="G17" s="4">
        <v>14500000</v>
      </c>
      <c r="H17" s="4">
        <f t="shared" si="0"/>
        <v>1500000</v>
      </c>
      <c r="I17" s="5">
        <f t="shared" si="1"/>
        <v>0.11538461538461539</v>
      </c>
      <c r="J17" s="3" t="str">
        <f t="shared" si="2"/>
        <v>Sobrecosto</v>
      </c>
    </row>
    <row r="18" spans="2:10" x14ac:dyDescent="0.3">
      <c r="B18" s="2">
        <v>45710</v>
      </c>
      <c r="C18" s="3">
        <v>4</v>
      </c>
      <c r="D18" s="3" t="s">
        <v>12</v>
      </c>
      <c r="E18" s="3" t="s">
        <v>10</v>
      </c>
      <c r="F18" s="4">
        <v>9000000</v>
      </c>
      <c r="G18" s="4">
        <v>9500000</v>
      </c>
      <c r="H18" s="4">
        <f t="shared" si="0"/>
        <v>500000</v>
      </c>
      <c r="I18" s="5">
        <f t="shared" si="1"/>
        <v>5.5555555555555552E-2</v>
      </c>
      <c r="J18" s="3" t="str">
        <f t="shared" si="2"/>
        <v>Sobrecosto</v>
      </c>
    </row>
    <row r="19" spans="2:10" x14ac:dyDescent="0.3">
      <c r="B19" s="2">
        <v>45717</v>
      </c>
      <c r="C19" s="3">
        <v>5</v>
      </c>
      <c r="D19" s="3" t="s">
        <v>13</v>
      </c>
      <c r="E19" s="3" t="s">
        <v>9</v>
      </c>
      <c r="F19" s="4">
        <v>18000000</v>
      </c>
      <c r="G19" s="4">
        <v>19500000</v>
      </c>
      <c r="H19" s="4">
        <f t="shared" si="0"/>
        <v>1500000</v>
      </c>
      <c r="I19" s="5">
        <f t="shared" si="1"/>
        <v>8.3333333333333329E-2</v>
      </c>
      <c r="J19" s="3" t="str">
        <f t="shared" si="2"/>
        <v>Sobrecosto</v>
      </c>
    </row>
    <row r="20" spans="2:10" x14ac:dyDescent="0.3">
      <c r="B20" s="2">
        <v>45717</v>
      </c>
      <c r="C20" s="3">
        <v>5</v>
      </c>
      <c r="D20" s="3" t="s">
        <v>13</v>
      </c>
      <c r="E20" s="3" t="s">
        <v>7</v>
      </c>
      <c r="F20" s="4">
        <v>14000000</v>
      </c>
      <c r="G20" s="4">
        <v>13800000</v>
      </c>
      <c r="H20" s="4">
        <f t="shared" si="0"/>
        <v>-200000</v>
      </c>
      <c r="I20" s="5">
        <f t="shared" si="1"/>
        <v>-1.4285714285714285E-2</v>
      </c>
      <c r="J20" s="3" t="str">
        <f t="shared" si="2"/>
        <v>Ahorro</v>
      </c>
    </row>
    <row r="21" spans="2:10" x14ac:dyDescent="0.3">
      <c r="B21" s="2">
        <v>45717</v>
      </c>
      <c r="C21" s="3">
        <v>5</v>
      </c>
      <c r="D21" s="3" t="s">
        <v>13</v>
      </c>
      <c r="E21" s="3" t="s">
        <v>8</v>
      </c>
      <c r="F21" s="4">
        <v>6000000</v>
      </c>
      <c r="G21" s="4">
        <v>6500000</v>
      </c>
      <c r="H21" s="4">
        <f t="shared" si="0"/>
        <v>500000</v>
      </c>
      <c r="I21" s="5">
        <f t="shared" si="1"/>
        <v>8.3333333333333329E-2</v>
      </c>
      <c r="J21" s="3" t="str">
        <f t="shared" si="2"/>
        <v>Sobrecosto</v>
      </c>
    </row>
    <row r="22" spans="2:10" x14ac:dyDescent="0.3">
      <c r="B22" s="2">
        <v>45717</v>
      </c>
      <c r="C22" s="3">
        <v>5</v>
      </c>
      <c r="D22" s="3" t="s">
        <v>13</v>
      </c>
      <c r="E22" s="3" t="s">
        <v>10</v>
      </c>
      <c r="F22" s="4">
        <v>5000000</v>
      </c>
      <c r="G22" s="4">
        <v>5400000</v>
      </c>
      <c r="H22" s="4">
        <f t="shared" si="0"/>
        <v>400000</v>
      </c>
      <c r="I22" s="5">
        <f t="shared" si="1"/>
        <v>0.08</v>
      </c>
      <c r="J22" s="3" t="str">
        <f t="shared" si="2"/>
        <v>Sobrecosto</v>
      </c>
    </row>
    <row r="23" spans="2:10" x14ac:dyDescent="0.3">
      <c r="B23" s="2">
        <v>45724</v>
      </c>
      <c r="C23" s="3">
        <v>6</v>
      </c>
      <c r="D23" s="3" t="s">
        <v>14</v>
      </c>
      <c r="E23" s="3" t="s">
        <v>9</v>
      </c>
      <c r="F23" s="4">
        <v>20000000</v>
      </c>
      <c r="G23" s="4">
        <v>21500000</v>
      </c>
      <c r="H23" s="4">
        <f t="shared" si="0"/>
        <v>1500000</v>
      </c>
      <c r="I23" s="5">
        <f t="shared" si="1"/>
        <v>7.4999999999999997E-2</v>
      </c>
      <c r="J23" s="3" t="str">
        <f t="shared" si="2"/>
        <v>Sobrecosto</v>
      </c>
    </row>
    <row r="24" spans="2:10" x14ac:dyDescent="0.3">
      <c r="B24" s="2">
        <v>45724</v>
      </c>
      <c r="C24" s="3">
        <v>6</v>
      </c>
      <c r="D24" s="3" t="s">
        <v>14</v>
      </c>
      <c r="E24" s="3" t="s">
        <v>7</v>
      </c>
      <c r="F24" s="4">
        <v>16000000</v>
      </c>
      <c r="G24" s="4">
        <v>17000000</v>
      </c>
      <c r="H24" s="4">
        <f t="shared" si="0"/>
        <v>1000000</v>
      </c>
      <c r="I24" s="5">
        <f t="shared" si="1"/>
        <v>6.25E-2</v>
      </c>
      <c r="J24" s="3" t="str">
        <f t="shared" si="2"/>
        <v>Sobrecosto</v>
      </c>
    </row>
    <row r="25" spans="2:10" x14ac:dyDescent="0.3">
      <c r="B25" s="2">
        <v>45724</v>
      </c>
      <c r="C25" s="3">
        <v>6</v>
      </c>
      <c r="D25" s="3" t="s">
        <v>14</v>
      </c>
      <c r="E25" s="3" t="s">
        <v>8</v>
      </c>
      <c r="F25" s="4">
        <v>7000000</v>
      </c>
      <c r="G25" s="4">
        <v>7500000</v>
      </c>
      <c r="H25" s="4">
        <f t="shared" si="0"/>
        <v>500000</v>
      </c>
      <c r="I25" s="5">
        <f t="shared" si="1"/>
        <v>7.1428571428571425E-2</v>
      </c>
      <c r="J25" s="3" t="str">
        <f t="shared" si="2"/>
        <v>Sobrecosto</v>
      </c>
    </row>
    <row r="26" spans="2:10" x14ac:dyDescent="0.3">
      <c r="B26" s="2">
        <v>45724</v>
      </c>
      <c r="C26" s="3">
        <v>6</v>
      </c>
      <c r="D26" s="3" t="s">
        <v>14</v>
      </c>
      <c r="E26" s="3" t="s">
        <v>10</v>
      </c>
      <c r="F26" s="4">
        <v>9000000</v>
      </c>
      <c r="G26" s="4">
        <v>9500000</v>
      </c>
      <c r="H26" s="4">
        <f t="shared" si="0"/>
        <v>500000</v>
      </c>
      <c r="I26" s="5">
        <f t="shared" si="1"/>
        <v>5.5555555555555552E-2</v>
      </c>
      <c r="J26" s="3" t="str">
        <f t="shared" si="2"/>
        <v>Sobrecosto</v>
      </c>
    </row>
    <row r="27" spans="2:10" x14ac:dyDescent="0.3">
      <c r="B27" s="2">
        <v>45731</v>
      </c>
      <c r="C27" s="3">
        <v>7</v>
      </c>
      <c r="D27" s="3" t="s">
        <v>15</v>
      </c>
      <c r="E27" s="3" t="s">
        <v>9</v>
      </c>
      <c r="F27" s="4">
        <v>22000000</v>
      </c>
      <c r="G27" s="4">
        <v>25500000</v>
      </c>
      <c r="H27" s="4">
        <f t="shared" si="0"/>
        <v>3500000</v>
      </c>
      <c r="I27" s="5">
        <f t="shared" si="1"/>
        <v>0.15909090909090909</v>
      </c>
      <c r="J27" s="3" t="str">
        <f t="shared" si="2"/>
        <v>Sobrecosto</v>
      </c>
    </row>
    <row r="28" spans="2:10" x14ac:dyDescent="0.3">
      <c r="B28" s="2">
        <v>45731</v>
      </c>
      <c r="C28" s="3">
        <v>7</v>
      </c>
      <c r="D28" s="3" t="s">
        <v>15</v>
      </c>
      <c r="E28" s="3" t="s">
        <v>7</v>
      </c>
      <c r="F28" s="4">
        <v>18000000</v>
      </c>
      <c r="G28" s="4">
        <v>19500000</v>
      </c>
      <c r="H28" s="4">
        <f t="shared" si="0"/>
        <v>1500000</v>
      </c>
      <c r="I28" s="5">
        <f t="shared" si="1"/>
        <v>8.3333333333333329E-2</v>
      </c>
      <c r="J28" s="3" t="str">
        <f t="shared" si="2"/>
        <v>Sobrecosto</v>
      </c>
    </row>
    <row r="29" spans="2:10" x14ac:dyDescent="0.3">
      <c r="B29" s="2">
        <v>45731</v>
      </c>
      <c r="C29" s="3">
        <v>7</v>
      </c>
      <c r="D29" s="3" t="s">
        <v>15</v>
      </c>
      <c r="E29" s="3" t="s">
        <v>8</v>
      </c>
      <c r="F29" s="4">
        <v>5000000</v>
      </c>
      <c r="G29" s="4">
        <v>5200000</v>
      </c>
      <c r="H29" s="4">
        <f t="shared" si="0"/>
        <v>200000</v>
      </c>
      <c r="I29" s="5">
        <f t="shared" si="1"/>
        <v>0.04</v>
      </c>
      <c r="J29" s="3" t="str">
        <f t="shared" si="2"/>
        <v>Sobrecosto</v>
      </c>
    </row>
    <row r="30" spans="2:10" x14ac:dyDescent="0.3">
      <c r="B30" s="2">
        <v>45731</v>
      </c>
      <c r="C30" s="3">
        <v>7</v>
      </c>
      <c r="D30" s="3" t="s">
        <v>15</v>
      </c>
      <c r="E30" s="3" t="s">
        <v>10</v>
      </c>
      <c r="F30" s="4">
        <v>8000000</v>
      </c>
      <c r="G30" s="4">
        <v>8700000</v>
      </c>
      <c r="H30" s="4">
        <f t="shared" si="0"/>
        <v>700000</v>
      </c>
      <c r="I30" s="5">
        <f t="shared" si="1"/>
        <v>8.7499999999999994E-2</v>
      </c>
      <c r="J30" s="3" t="str">
        <f t="shared" si="2"/>
        <v>Sobrecosto</v>
      </c>
    </row>
    <row r="31" spans="2:10" x14ac:dyDescent="0.3">
      <c r="B31" s="2">
        <v>45738</v>
      </c>
      <c r="C31" s="3">
        <v>8</v>
      </c>
      <c r="D31" s="3" t="s">
        <v>15</v>
      </c>
      <c r="E31" s="3" t="s">
        <v>9</v>
      </c>
      <c r="F31" s="4">
        <v>21000000</v>
      </c>
      <c r="G31" s="4">
        <v>24000000</v>
      </c>
      <c r="H31" s="4">
        <f t="shared" si="0"/>
        <v>3000000</v>
      </c>
      <c r="I31" s="5">
        <f t="shared" si="1"/>
        <v>0.14285714285714285</v>
      </c>
      <c r="J31" s="3" t="str">
        <f t="shared" si="2"/>
        <v>Sobrecosto</v>
      </c>
    </row>
    <row r="32" spans="2:10" x14ac:dyDescent="0.3">
      <c r="B32" s="2">
        <v>45738</v>
      </c>
      <c r="C32" s="3">
        <v>8</v>
      </c>
      <c r="D32" s="3" t="s">
        <v>15</v>
      </c>
      <c r="E32" s="3" t="s">
        <v>7</v>
      </c>
      <c r="F32" s="4">
        <v>17500000</v>
      </c>
      <c r="G32" s="4">
        <v>19000000</v>
      </c>
      <c r="H32" s="4">
        <f t="shared" si="0"/>
        <v>1500000</v>
      </c>
      <c r="I32" s="5">
        <f t="shared" si="1"/>
        <v>8.5714285714285715E-2</v>
      </c>
      <c r="J32" s="3" t="str">
        <f t="shared" si="2"/>
        <v>Sobrecosto</v>
      </c>
    </row>
    <row r="33" spans="2:10" x14ac:dyDescent="0.3">
      <c r="B33" s="2">
        <v>45738</v>
      </c>
      <c r="C33" s="3">
        <v>8</v>
      </c>
      <c r="D33" s="3" t="s">
        <v>15</v>
      </c>
      <c r="E33" s="3" t="s">
        <v>8</v>
      </c>
      <c r="F33" s="4">
        <v>4500000</v>
      </c>
      <c r="G33" s="4">
        <v>4800000</v>
      </c>
      <c r="H33" s="4">
        <f t="shared" si="0"/>
        <v>300000</v>
      </c>
      <c r="I33" s="5">
        <f t="shared" si="1"/>
        <v>6.6666666666666666E-2</v>
      </c>
      <c r="J33" s="3" t="str">
        <f t="shared" si="2"/>
        <v>Sobrecosto</v>
      </c>
    </row>
    <row r="34" spans="2:10" x14ac:dyDescent="0.3">
      <c r="B34" s="2">
        <v>45738</v>
      </c>
      <c r="C34" s="3">
        <v>8</v>
      </c>
      <c r="D34" s="3" t="s">
        <v>15</v>
      </c>
      <c r="E34" s="3" t="s">
        <v>10</v>
      </c>
      <c r="F34" s="4">
        <v>7500000</v>
      </c>
      <c r="G34" s="4">
        <v>8000000</v>
      </c>
      <c r="H34" s="4">
        <f t="shared" si="0"/>
        <v>500000</v>
      </c>
      <c r="I34" s="5">
        <f t="shared" si="1"/>
        <v>6.6666666666666666E-2</v>
      </c>
      <c r="J34" s="3" t="str">
        <f t="shared" si="2"/>
        <v>Sobrecosto</v>
      </c>
    </row>
    <row r="35" spans="2:10" x14ac:dyDescent="0.3">
      <c r="B35" s="2">
        <v>45745</v>
      </c>
      <c r="C35" s="3">
        <v>9</v>
      </c>
      <c r="D35" s="3" t="s">
        <v>16</v>
      </c>
      <c r="E35" s="3" t="s">
        <v>9</v>
      </c>
      <c r="F35" s="4">
        <v>15000000</v>
      </c>
      <c r="G35" s="4">
        <v>16500000</v>
      </c>
      <c r="H35" s="4">
        <f t="shared" si="0"/>
        <v>1500000</v>
      </c>
      <c r="I35" s="5">
        <f t="shared" si="1"/>
        <v>0.1</v>
      </c>
      <c r="J35" s="3" t="str">
        <f t="shared" si="2"/>
        <v>Sobrecosto</v>
      </c>
    </row>
    <row r="36" spans="2:10" x14ac:dyDescent="0.3">
      <c r="B36" s="2">
        <v>45745</v>
      </c>
      <c r="C36" s="3">
        <v>9</v>
      </c>
      <c r="D36" s="3" t="s">
        <v>16</v>
      </c>
      <c r="E36" s="3" t="s">
        <v>7</v>
      </c>
      <c r="F36" s="4">
        <v>12000000</v>
      </c>
      <c r="G36" s="4">
        <v>13000000</v>
      </c>
      <c r="H36" s="4">
        <f t="shared" si="0"/>
        <v>1000000</v>
      </c>
      <c r="I36" s="5">
        <f t="shared" si="1"/>
        <v>8.3333333333333329E-2</v>
      </c>
      <c r="J36" s="3" t="str">
        <f t="shared" si="2"/>
        <v>Sobrecosto</v>
      </c>
    </row>
    <row r="37" spans="2:10" x14ac:dyDescent="0.3">
      <c r="B37" s="2">
        <v>45745</v>
      </c>
      <c r="C37" s="3">
        <v>9</v>
      </c>
      <c r="D37" s="3" t="s">
        <v>16</v>
      </c>
      <c r="E37" s="3" t="s">
        <v>8</v>
      </c>
      <c r="F37" s="4">
        <v>4000000</v>
      </c>
      <c r="G37" s="4">
        <v>4500000</v>
      </c>
      <c r="H37" s="4">
        <f t="shared" si="0"/>
        <v>500000</v>
      </c>
      <c r="I37" s="5">
        <f t="shared" si="1"/>
        <v>0.125</v>
      </c>
      <c r="J37" s="3" t="str">
        <f t="shared" si="2"/>
        <v>Sobrecosto</v>
      </c>
    </row>
    <row r="38" spans="2:10" x14ac:dyDescent="0.3">
      <c r="B38" s="2">
        <v>45745</v>
      </c>
      <c r="C38" s="3">
        <v>9</v>
      </c>
      <c r="D38" s="3" t="s">
        <v>16</v>
      </c>
      <c r="E38" s="3" t="s">
        <v>10</v>
      </c>
      <c r="F38" s="4">
        <v>6000000</v>
      </c>
      <c r="G38" s="4">
        <v>6800000</v>
      </c>
      <c r="H38" s="4">
        <f t="shared" si="0"/>
        <v>800000</v>
      </c>
      <c r="I38" s="5">
        <f t="shared" si="1"/>
        <v>0.13333333333333333</v>
      </c>
      <c r="J38" s="3" t="str">
        <f t="shared" si="2"/>
        <v>Sobrecosto</v>
      </c>
    </row>
    <row r="39" spans="2:10" x14ac:dyDescent="0.3">
      <c r="B39" s="2">
        <v>45752</v>
      </c>
      <c r="C39" s="3">
        <v>10</v>
      </c>
      <c r="D39" s="3" t="s">
        <v>17</v>
      </c>
      <c r="E39" s="3" t="s">
        <v>9</v>
      </c>
      <c r="F39" s="4">
        <v>18000000</v>
      </c>
      <c r="G39" s="4">
        <v>20500000</v>
      </c>
      <c r="H39" s="4">
        <f t="shared" si="0"/>
        <v>2500000</v>
      </c>
      <c r="I39" s="5">
        <f t="shared" si="1"/>
        <v>0.1388888888888889</v>
      </c>
      <c r="J39" s="3" t="str">
        <f t="shared" si="2"/>
        <v>Sobrecosto</v>
      </c>
    </row>
    <row r="40" spans="2:10" x14ac:dyDescent="0.3">
      <c r="B40" s="2">
        <v>45752</v>
      </c>
      <c r="C40" s="3">
        <v>10</v>
      </c>
      <c r="D40" s="3" t="s">
        <v>17</v>
      </c>
      <c r="E40" s="3" t="s">
        <v>7</v>
      </c>
      <c r="F40" s="4">
        <v>16000000</v>
      </c>
      <c r="G40" s="4">
        <v>17500000</v>
      </c>
      <c r="H40" s="4">
        <f t="shared" si="0"/>
        <v>1500000</v>
      </c>
      <c r="I40" s="5">
        <f t="shared" si="1"/>
        <v>9.375E-2</v>
      </c>
      <c r="J40" s="3" t="str">
        <f t="shared" si="2"/>
        <v>Sobrecosto</v>
      </c>
    </row>
    <row r="41" spans="2:10" x14ac:dyDescent="0.3">
      <c r="B41" s="2">
        <v>45752</v>
      </c>
      <c r="C41" s="3">
        <v>10</v>
      </c>
      <c r="D41" s="3" t="s">
        <v>17</v>
      </c>
      <c r="E41" s="3" t="s">
        <v>8</v>
      </c>
      <c r="F41" s="4">
        <v>3000000</v>
      </c>
      <c r="G41" s="4">
        <v>3500000</v>
      </c>
      <c r="H41" s="4">
        <f t="shared" si="0"/>
        <v>500000</v>
      </c>
      <c r="I41" s="5">
        <f t="shared" si="1"/>
        <v>0.16666666666666666</v>
      </c>
      <c r="J41" s="3" t="str">
        <f t="shared" si="2"/>
        <v>Sobrecosto</v>
      </c>
    </row>
    <row r="42" spans="2:10" x14ac:dyDescent="0.3">
      <c r="B42" s="2">
        <v>45752</v>
      </c>
      <c r="C42" s="3">
        <v>10</v>
      </c>
      <c r="D42" s="3" t="s">
        <v>17</v>
      </c>
      <c r="E42" s="3" t="s">
        <v>10</v>
      </c>
      <c r="F42" s="4">
        <v>7000000</v>
      </c>
      <c r="G42" s="4">
        <v>7800000</v>
      </c>
      <c r="H42" s="4">
        <f t="shared" si="0"/>
        <v>800000</v>
      </c>
      <c r="I42" s="5">
        <f t="shared" si="1"/>
        <v>0.11428571428571428</v>
      </c>
      <c r="J42" s="3" t="str">
        <f t="shared" si="2"/>
        <v>Sobrecosto</v>
      </c>
    </row>
    <row r="43" spans="2:10" x14ac:dyDescent="0.3">
      <c r="B43" s="2">
        <v>45759</v>
      </c>
      <c r="C43" s="3">
        <v>10</v>
      </c>
      <c r="D43" s="3" t="s">
        <v>18</v>
      </c>
      <c r="E43" s="3" t="s">
        <v>9</v>
      </c>
      <c r="F43" s="4">
        <v>12000000</v>
      </c>
      <c r="G43" s="4">
        <v>13500000</v>
      </c>
      <c r="H43" s="4">
        <f t="shared" si="0"/>
        <v>1500000</v>
      </c>
      <c r="I43" s="5">
        <f t="shared" si="1"/>
        <v>0.125</v>
      </c>
      <c r="J43" s="3" t="str">
        <f t="shared" si="2"/>
        <v>Sobrecosto</v>
      </c>
    </row>
    <row r="44" spans="2:10" x14ac:dyDescent="0.3">
      <c r="B44" s="2">
        <v>45759</v>
      </c>
      <c r="C44" s="3">
        <v>10</v>
      </c>
      <c r="D44" s="3" t="s">
        <v>18</v>
      </c>
      <c r="E44" s="3" t="s">
        <v>7</v>
      </c>
      <c r="F44" s="4">
        <v>9000000</v>
      </c>
      <c r="G44" s="4">
        <v>10000000</v>
      </c>
      <c r="H44" s="4">
        <f t="shared" si="0"/>
        <v>1000000</v>
      </c>
      <c r="I44" s="5">
        <f t="shared" si="1"/>
        <v>0.1111111111111111</v>
      </c>
      <c r="J44" s="3" t="str">
        <f t="shared" si="2"/>
        <v>Sobrecosto</v>
      </c>
    </row>
    <row r="45" spans="2:10" x14ac:dyDescent="0.3">
      <c r="B45" s="2">
        <v>45759</v>
      </c>
      <c r="C45" s="3">
        <v>10</v>
      </c>
      <c r="D45" s="3" t="s">
        <v>18</v>
      </c>
      <c r="E45" s="3" t="s">
        <v>8</v>
      </c>
      <c r="F45" s="4">
        <v>5000000</v>
      </c>
      <c r="G45" s="4">
        <v>5800000</v>
      </c>
      <c r="H45" s="4">
        <f t="shared" si="0"/>
        <v>800000</v>
      </c>
      <c r="I45" s="5">
        <f t="shared" si="1"/>
        <v>0.16</v>
      </c>
      <c r="J45" s="3" t="str">
        <f t="shared" si="2"/>
        <v>Sobrecosto</v>
      </c>
    </row>
    <row r="46" spans="2:10" x14ac:dyDescent="0.3">
      <c r="B46" s="2">
        <v>45759</v>
      </c>
      <c r="C46" s="3">
        <v>10</v>
      </c>
      <c r="D46" s="3" t="s">
        <v>18</v>
      </c>
      <c r="E46" s="3" t="s">
        <v>10</v>
      </c>
      <c r="F46" s="4">
        <v>4000000</v>
      </c>
      <c r="G46" s="4">
        <v>4500000</v>
      </c>
      <c r="H46" s="4">
        <f t="shared" si="0"/>
        <v>500000</v>
      </c>
      <c r="I46" s="5">
        <f t="shared" si="1"/>
        <v>0.125</v>
      </c>
      <c r="J46" s="3" t="str">
        <f t="shared" si="2"/>
        <v>Sobrecosto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478F-4FD6-43D2-99B7-697EE2270E7B}">
  <dimension ref="A1:J82"/>
  <sheetViews>
    <sheetView tabSelected="1" topLeftCell="A20" workbookViewId="0">
      <selection activeCell="F70" sqref="F70"/>
    </sheetView>
  </sheetViews>
  <sheetFormatPr baseColWidth="10" defaultRowHeight="14.4" x14ac:dyDescent="0.3"/>
  <cols>
    <col min="1" max="1" width="3.88671875" style="1" customWidth="1"/>
    <col min="2" max="2" width="11.5546875" style="1" bestFit="1" customWidth="1"/>
    <col min="3" max="3" width="29" style="1" bestFit="1" customWidth="1"/>
    <col min="4" max="4" width="26.88671875" style="1" bestFit="1" customWidth="1"/>
    <col min="5" max="5" width="17.77734375" style="1" bestFit="1" customWidth="1"/>
    <col min="6" max="6" width="18.88671875" style="1" customWidth="1"/>
    <col min="7" max="7" width="19" style="1" bestFit="1" customWidth="1"/>
    <col min="8" max="8" width="17.88671875" style="1" bestFit="1" customWidth="1"/>
    <col min="9" max="9" width="17.77734375" style="1" bestFit="1" customWidth="1"/>
    <col min="10" max="10" width="25.44140625" style="1" bestFit="1" customWidth="1"/>
    <col min="11" max="24" width="26.77734375" style="1" bestFit="1" customWidth="1"/>
    <col min="25" max="25" width="31.21875" style="1" bestFit="1" customWidth="1"/>
    <col min="26" max="26" width="30.109375" style="1" bestFit="1" customWidth="1"/>
    <col min="27" max="27" width="17" style="1" bestFit="1" customWidth="1"/>
    <col min="28" max="28" width="14" style="1" bestFit="1" customWidth="1"/>
    <col min="29" max="30" width="17" style="1" bestFit="1" customWidth="1"/>
    <col min="31" max="31" width="12.44140625" style="1" bestFit="1" customWidth="1"/>
    <col min="32" max="33" width="17" style="1" bestFit="1" customWidth="1"/>
    <col min="34" max="34" width="12.44140625" style="1" bestFit="1" customWidth="1"/>
    <col min="35" max="36" width="17" style="1" bestFit="1" customWidth="1"/>
    <col min="37" max="16384" width="11.5546875" style="1"/>
  </cols>
  <sheetData>
    <row r="1" spans="1:10" ht="15" thickBot="1" x14ac:dyDescent="0.35">
      <c r="A1" s="16"/>
      <c r="B1" s="8"/>
      <c r="C1" s="8"/>
      <c r="D1" s="8"/>
      <c r="E1" s="8"/>
      <c r="F1" s="8"/>
      <c r="G1" s="8"/>
      <c r="H1" s="8"/>
      <c r="I1" s="8"/>
      <c r="J1" s="9"/>
    </row>
    <row r="2" spans="1:10" ht="21" customHeight="1" thickBot="1" x14ac:dyDescent="0.35">
      <c r="A2" s="10"/>
      <c r="B2" s="38" t="s">
        <v>26</v>
      </c>
      <c r="C2" s="39"/>
      <c r="D2" s="39"/>
      <c r="E2" s="40"/>
      <c r="G2" s="32" t="s">
        <v>2</v>
      </c>
      <c r="H2" s="25" t="s">
        <v>28</v>
      </c>
      <c r="J2" s="27"/>
    </row>
    <row r="3" spans="1:10" ht="15" thickBot="1" x14ac:dyDescent="0.35">
      <c r="A3" s="10"/>
      <c r="B3" s="57" t="s">
        <v>2</v>
      </c>
      <c r="C3" s="23" t="s">
        <v>23</v>
      </c>
      <c r="D3" s="24" t="s">
        <v>24</v>
      </c>
      <c r="E3" s="25" t="s">
        <v>25</v>
      </c>
      <c r="J3" s="27"/>
    </row>
    <row r="4" spans="1:10" ht="15" thickBot="1" x14ac:dyDescent="0.35">
      <c r="A4" s="10"/>
      <c r="B4" s="58" t="s">
        <v>15</v>
      </c>
      <c r="C4" s="17">
        <v>103500000</v>
      </c>
      <c r="D4" s="18">
        <v>114700000</v>
      </c>
      <c r="E4" s="19">
        <v>11200000</v>
      </c>
      <c r="G4" s="23" t="s">
        <v>23</v>
      </c>
      <c r="H4" s="24" t="s">
        <v>24</v>
      </c>
      <c r="I4" s="25" t="s">
        <v>25</v>
      </c>
      <c r="J4" s="27"/>
    </row>
    <row r="5" spans="1:10" ht="15" thickBot="1" x14ac:dyDescent="0.35">
      <c r="A5" s="10"/>
      <c r="B5" s="54" t="s">
        <v>17</v>
      </c>
      <c r="C5" s="20">
        <v>44000000</v>
      </c>
      <c r="D5" s="56">
        <v>49300000</v>
      </c>
      <c r="E5" s="12">
        <v>5300000</v>
      </c>
      <c r="G5" s="33">
        <v>539500000</v>
      </c>
      <c r="H5" s="34">
        <v>586200000</v>
      </c>
      <c r="I5" s="35">
        <v>46700000</v>
      </c>
      <c r="J5" s="27"/>
    </row>
    <row r="6" spans="1:10" x14ac:dyDescent="0.3">
      <c r="A6" s="10"/>
      <c r="B6" s="54" t="s">
        <v>11</v>
      </c>
      <c r="C6" s="20">
        <v>56000000</v>
      </c>
      <c r="D6" s="56">
        <v>58500000</v>
      </c>
      <c r="E6" s="12">
        <v>2500000</v>
      </c>
      <c r="J6" s="27"/>
    </row>
    <row r="7" spans="1:10" x14ac:dyDescent="0.3">
      <c r="A7" s="10"/>
      <c r="B7" s="54" t="s">
        <v>16</v>
      </c>
      <c r="C7" s="20">
        <v>37000000</v>
      </c>
      <c r="D7" s="56">
        <v>40800000</v>
      </c>
      <c r="E7" s="12">
        <v>3800000</v>
      </c>
      <c r="J7" s="27"/>
    </row>
    <row r="8" spans="1:10" x14ac:dyDescent="0.3">
      <c r="A8" s="10"/>
      <c r="B8" s="54" t="s">
        <v>12</v>
      </c>
      <c r="C8" s="20">
        <v>146000000</v>
      </c>
      <c r="D8" s="56">
        <v>159500000</v>
      </c>
      <c r="E8" s="12">
        <v>13500000</v>
      </c>
      <c r="J8" s="27"/>
    </row>
    <row r="9" spans="1:10" x14ac:dyDescent="0.3">
      <c r="A9" s="10"/>
      <c r="B9" s="54" t="s">
        <v>6</v>
      </c>
      <c r="C9" s="20">
        <v>28000000</v>
      </c>
      <c r="D9" s="56">
        <v>28900000</v>
      </c>
      <c r="E9" s="12">
        <v>900000</v>
      </c>
      <c r="J9" s="27"/>
    </row>
    <row r="10" spans="1:10" x14ac:dyDescent="0.3">
      <c r="A10" s="10"/>
      <c r="B10" s="54" t="s">
        <v>14</v>
      </c>
      <c r="C10" s="20">
        <v>52000000</v>
      </c>
      <c r="D10" s="56">
        <v>55500000</v>
      </c>
      <c r="E10" s="12">
        <v>3500000</v>
      </c>
      <c r="J10" s="27"/>
    </row>
    <row r="11" spans="1:10" x14ac:dyDescent="0.3">
      <c r="A11" s="10"/>
      <c r="B11" s="54" t="s">
        <v>13</v>
      </c>
      <c r="C11" s="20">
        <v>43000000</v>
      </c>
      <c r="D11" s="56">
        <v>45200000</v>
      </c>
      <c r="E11" s="12">
        <v>2200000</v>
      </c>
      <c r="J11" s="27"/>
    </row>
    <row r="12" spans="1:10" ht="15" thickBot="1" x14ac:dyDescent="0.35">
      <c r="A12" s="10"/>
      <c r="B12" s="55" t="s">
        <v>18</v>
      </c>
      <c r="C12" s="20">
        <v>30000000</v>
      </c>
      <c r="D12" s="56">
        <v>33800000</v>
      </c>
      <c r="E12" s="12">
        <v>3800000</v>
      </c>
      <c r="J12" s="27"/>
    </row>
    <row r="13" spans="1:10" ht="15" thickBot="1" x14ac:dyDescent="0.35">
      <c r="A13" s="10"/>
      <c r="B13" s="22" t="s">
        <v>22</v>
      </c>
      <c r="C13" s="21">
        <v>539500000</v>
      </c>
      <c r="D13" s="14">
        <v>586200000</v>
      </c>
      <c r="E13" s="15">
        <v>46700000</v>
      </c>
      <c r="J13" s="27"/>
    </row>
    <row r="14" spans="1:10" x14ac:dyDescent="0.3">
      <c r="A14" s="10"/>
      <c r="J14" s="27"/>
    </row>
    <row r="15" spans="1:10" x14ac:dyDescent="0.3">
      <c r="A15" s="10"/>
      <c r="J15" s="27"/>
    </row>
    <row r="16" spans="1:10" x14ac:dyDescent="0.3">
      <c r="A16" s="10"/>
      <c r="J16" s="27"/>
    </row>
    <row r="17" spans="1:10" x14ac:dyDescent="0.3">
      <c r="A17" s="10"/>
      <c r="J17" s="27"/>
    </row>
    <row r="18" spans="1:10" x14ac:dyDescent="0.3">
      <c r="A18" s="10"/>
      <c r="J18" s="27"/>
    </row>
    <row r="19" spans="1:10" x14ac:dyDescent="0.3">
      <c r="A19" s="10"/>
      <c r="J19" s="27"/>
    </row>
    <row r="20" spans="1:10" x14ac:dyDescent="0.3">
      <c r="A20" s="10"/>
      <c r="J20" s="27"/>
    </row>
    <row r="21" spans="1:10" x14ac:dyDescent="0.3">
      <c r="A21" s="10"/>
      <c r="J21" s="27"/>
    </row>
    <row r="22" spans="1:10" x14ac:dyDescent="0.3">
      <c r="A22" s="10"/>
      <c r="J22" s="27"/>
    </row>
    <row r="23" spans="1:10" ht="15" thickBot="1" x14ac:dyDescent="0.35">
      <c r="A23" s="13"/>
      <c r="B23" s="28"/>
      <c r="C23" s="28"/>
      <c r="D23" s="28"/>
      <c r="E23" s="28"/>
      <c r="F23" s="28"/>
      <c r="G23" s="28"/>
      <c r="H23" s="28"/>
      <c r="I23" s="28"/>
      <c r="J23" s="30"/>
    </row>
    <row r="24" spans="1:10" ht="15" thickBot="1" x14ac:dyDescent="0.35">
      <c r="A24" s="16"/>
      <c r="B24" s="8"/>
      <c r="C24" s="8"/>
      <c r="D24" s="8"/>
      <c r="E24" s="8"/>
      <c r="F24" s="8"/>
      <c r="G24" s="8"/>
      <c r="H24" s="8"/>
      <c r="I24" s="8"/>
      <c r="J24" s="9"/>
    </row>
    <row r="25" spans="1:10" ht="16.2" thickBot="1" x14ac:dyDescent="0.35">
      <c r="A25" s="10"/>
      <c r="B25" s="38" t="s">
        <v>32</v>
      </c>
      <c r="C25" s="39"/>
      <c r="D25" s="39"/>
      <c r="E25" s="40"/>
      <c r="J25" s="27"/>
    </row>
    <row r="26" spans="1:10" ht="15" thickBot="1" x14ac:dyDescent="0.35">
      <c r="A26" s="10"/>
      <c r="B26" s="57" t="s">
        <v>3</v>
      </c>
      <c r="C26" s="23" t="s">
        <v>23</v>
      </c>
      <c r="D26" s="24" t="s">
        <v>24</v>
      </c>
      <c r="E26" s="25" t="s">
        <v>25</v>
      </c>
      <c r="G26" s="37" t="s">
        <v>3</v>
      </c>
      <c r="H26" s="30" t="s">
        <v>28</v>
      </c>
      <c r="J26" s="27"/>
    </row>
    <row r="27" spans="1:10" x14ac:dyDescent="0.3">
      <c r="A27" s="10"/>
      <c r="B27" s="54" t="s">
        <v>8</v>
      </c>
      <c r="C27" s="17">
        <v>77500000</v>
      </c>
      <c r="D27" s="18">
        <v>84300000</v>
      </c>
      <c r="E27" s="19">
        <v>6800000</v>
      </c>
      <c r="J27" s="27"/>
    </row>
    <row r="28" spans="1:10" ht="15" thickBot="1" x14ac:dyDescent="0.35">
      <c r="A28" s="10"/>
      <c r="B28" s="54" t="s">
        <v>7</v>
      </c>
      <c r="C28" s="20">
        <v>171500000</v>
      </c>
      <c r="D28" s="56">
        <v>181300000</v>
      </c>
      <c r="E28" s="12">
        <v>9800000</v>
      </c>
      <c r="G28" s="13" t="s">
        <v>29</v>
      </c>
      <c r="H28" s="28" t="s">
        <v>30</v>
      </c>
      <c r="I28" s="30" t="s">
        <v>31</v>
      </c>
      <c r="J28" s="27"/>
    </row>
    <row r="29" spans="1:10" ht="15" thickBot="1" x14ac:dyDescent="0.35">
      <c r="A29" s="10"/>
      <c r="B29" s="54" t="s">
        <v>9</v>
      </c>
      <c r="C29" s="20">
        <v>218000000</v>
      </c>
      <c r="D29" s="56">
        <v>242300000</v>
      </c>
      <c r="E29" s="12">
        <v>24300000</v>
      </c>
      <c r="G29" s="21">
        <v>539500000</v>
      </c>
      <c r="H29" s="14">
        <v>586200000</v>
      </c>
      <c r="I29" s="15">
        <v>46700000</v>
      </c>
      <c r="J29" s="27"/>
    </row>
    <row r="30" spans="1:10" ht="15" thickBot="1" x14ac:dyDescent="0.35">
      <c r="A30" s="10"/>
      <c r="B30" s="55" t="s">
        <v>10</v>
      </c>
      <c r="C30" s="20">
        <v>72500000</v>
      </c>
      <c r="D30" s="56">
        <v>78300000</v>
      </c>
      <c r="E30" s="12">
        <v>5800000</v>
      </c>
      <c r="J30" s="27"/>
    </row>
    <row r="31" spans="1:10" ht="15" thickBot="1" x14ac:dyDescent="0.35">
      <c r="A31" s="10"/>
      <c r="B31" s="22" t="s">
        <v>22</v>
      </c>
      <c r="C31" s="21">
        <v>539500000</v>
      </c>
      <c r="D31" s="14">
        <v>586200000</v>
      </c>
      <c r="E31" s="15">
        <v>46700000</v>
      </c>
      <c r="J31" s="27"/>
    </row>
    <row r="32" spans="1:10" x14ac:dyDescent="0.3">
      <c r="A32" s="10"/>
      <c r="J32" s="27"/>
    </row>
    <row r="33" spans="1:10" x14ac:dyDescent="0.3">
      <c r="A33" s="10"/>
      <c r="J33" s="27"/>
    </row>
    <row r="34" spans="1:10" x14ac:dyDescent="0.3">
      <c r="A34" s="10"/>
      <c r="J34" s="27"/>
    </row>
    <row r="35" spans="1:10" x14ac:dyDescent="0.3">
      <c r="A35" s="10"/>
      <c r="J35" s="27"/>
    </row>
    <row r="36" spans="1:10" x14ac:dyDescent="0.3">
      <c r="A36" s="10"/>
      <c r="J36" s="27"/>
    </row>
    <row r="37" spans="1:10" x14ac:dyDescent="0.3">
      <c r="A37" s="10"/>
      <c r="J37" s="27"/>
    </row>
    <row r="38" spans="1:10" x14ac:dyDescent="0.3">
      <c r="A38" s="10"/>
      <c r="J38" s="27"/>
    </row>
    <row r="39" spans="1:10" x14ac:dyDescent="0.3">
      <c r="A39" s="10"/>
      <c r="J39" s="27"/>
    </row>
    <row r="40" spans="1:10" x14ac:dyDescent="0.3">
      <c r="A40" s="10"/>
      <c r="J40" s="27"/>
    </row>
    <row r="41" spans="1:10" x14ac:dyDescent="0.3">
      <c r="A41" s="10"/>
      <c r="J41" s="27"/>
    </row>
    <row r="42" spans="1:10" x14ac:dyDescent="0.3">
      <c r="A42" s="10"/>
      <c r="J42" s="27"/>
    </row>
    <row r="43" spans="1:10" x14ac:dyDescent="0.3">
      <c r="A43" s="10"/>
      <c r="J43" s="27"/>
    </row>
    <row r="44" spans="1:10" x14ac:dyDescent="0.3">
      <c r="A44" s="10"/>
      <c r="J44" s="27"/>
    </row>
    <row r="45" spans="1:10" x14ac:dyDescent="0.3">
      <c r="A45" s="10"/>
      <c r="J45" s="27"/>
    </row>
    <row r="46" spans="1:10" ht="15" thickBot="1" x14ac:dyDescent="0.35">
      <c r="A46" s="13"/>
      <c r="B46" s="28"/>
      <c r="C46" s="28"/>
      <c r="D46" s="28"/>
      <c r="E46" s="28"/>
      <c r="F46" s="28"/>
      <c r="G46" s="28"/>
      <c r="H46" s="28"/>
      <c r="I46" s="28"/>
      <c r="J46" s="30"/>
    </row>
    <row r="47" spans="1:10" x14ac:dyDescent="0.3">
      <c r="A47" s="16"/>
      <c r="B47" s="8"/>
      <c r="C47" s="8"/>
      <c r="D47" s="8"/>
      <c r="E47" s="8"/>
      <c r="F47" s="8"/>
      <c r="G47" s="8"/>
      <c r="H47" s="8"/>
      <c r="I47" s="8"/>
      <c r="J47" s="9"/>
    </row>
    <row r="48" spans="1:10" x14ac:dyDescent="0.3">
      <c r="A48" s="10"/>
      <c r="J48" s="27"/>
    </row>
    <row r="49" spans="1:10" ht="15" thickBot="1" x14ac:dyDescent="0.35">
      <c r="A49" s="10"/>
      <c r="B49" s="53" t="s">
        <v>27</v>
      </c>
      <c r="C49" s="13" t="s">
        <v>23</v>
      </c>
      <c r="D49" s="30" t="s">
        <v>24</v>
      </c>
      <c r="E49" s="36" t="s">
        <v>33</v>
      </c>
      <c r="F49" s="36" t="s">
        <v>34</v>
      </c>
      <c r="J49" s="27"/>
    </row>
    <row r="50" spans="1:10" x14ac:dyDescent="0.3">
      <c r="A50" s="10"/>
      <c r="B50" s="54">
        <v>1</v>
      </c>
      <c r="C50" s="20">
        <v>28000000</v>
      </c>
      <c r="D50" s="12">
        <v>28900000</v>
      </c>
      <c r="E50" s="11">
        <f>SUM($C$50:C50)</f>
        <v>28000000</v>
      </c>
      <c r="F50" s="11">
        <f>SUM($D$50:D50)</f>
        <v>28900000</v>
      </c>
      <c r="J50" s="27"/>
    </row>
    <row r="51" spans="1:10" x14ac:dyDescent="0.3">
      <c r="A51" s="10"/>
      <c r="B51" s="54">
        <v>2</v>
      </c>
      <c r="C51" s="20">
        <v>56000000</v>
      </c>
      <c r="D51" s="12">
        <v>58500000</v>
      </c>
      <c r="E51" s="11">
        <f>SUM($C$50:C51)</f>
        <v>84000000</v>
      </c>
      <c r="F51" s="11">
        <f>SUM($D$50:D51)</f>
        <v>87400000</v>
      </c>
      <c r="J51" s="27"/>
    </row>
    <row r="52" spans="1:10" x14ac:dyDescent="0.3">
      <c r="A52" s="10"/>
      <c r="B52" s="54">
        <v>3</v>
      </c>
      <c r="C52" s="20">
        <v>70000000</v>
      </c>
      <c r="D52" s="12">
        <v>77000000</v>
      </c>
      <c r="E52" s="11">
        <f>SUM($C$50:C52)</f>
        <v>154000000</v>
      </c>
      <c r="F52" s="11">
        <f>SUM($D$50:D52)</f>
        <v>164400000</v>
      </c>
      <c r="J52" s="27"/>
    </row>
    <row r="53" spans="1:10" x14ac:dyDescent="0.3">
      <c r="A53" s="10"/>
      <c r="B53" s="54">
        <v>4</v>
      </c>
      <c r="C53" s="20">
        <v>76000000</v>
      </c>
      <c r="D53" s="12">
        <v>82500000</v>
      </c>
      <c r="E53" s="11">
        <f>SUM($C$50:C53)</f>
        <v>230000000</v>
      </c>
      <c r="F53" s="11">
        <f>SUM($D$50:D53)</f>
        <v>246900000</v>
      </c>
      <c r="J53" s="27"/>
    </row>
    <row r="54" spans="1:10" x14ac:dyDescent="0.3">
      <c r="A54" s="10"/>
      <c r="B54" s="54">
        <v>5</v>
      </c>
      <c r="C54" s="20">
        <v>43000000</v>
      </c>
      <c r="D54" s="12">
        <v>45200000</v>
      </c>
      <c r="E54" s="11">
        <f>SUM($C$50:C54)</f>
        <v>273000000</v>
      </c>
      <c r="F54" s="11">
        <f>SUM($D$50:D54)</f>
        <v>292100000</v>
      </c>
      <c r="J54" s="27"/>
    </row>
    <row r="55" spans="1:10" x14ac:dyDescent="0.3">
      <c r="A55" s="10"/>
      <c r="B55" s="54">
        <v>6</v>
      </c>
      <c r="C55" s="20">
        <v>52000000</v>
      </c>
      <c r="D55" s="12">
        <v>55500000</v>
      </c>
      <c r="E55" s="11">
        <f>SUM($C$50:C55)</f>
        <v>325000000</v>
      </c>
      <c r="F55" s="11">
        <f>SUM($D$50:D55)</f>
        <v>347600000</v>
      </c>
      <c r="J55" s="27"/>
    </row>
    <row r="56" spans="1:10" x14ac:dyDescent="0.3">
      <c r="A56" s="10"/>
      <c r="B56" s="54">
        <v>7</v>
      </c>
      <c r="C56" s="20">
        <v>53000000</v>
      </c>
      <c r="D56" s="12">
        <v>58900000</v>
      </c>
      <c r="E56" s="11">
        <f>SUM($C$50:C56)</f>
        <v>378000000</v>
      </c>
      <c r="F56" s="11">
        <f>SUM($D$50:D56)</f>
        <v>406500000</v>
      </c>
      <c r="J56" s="27"/>
    </row>
    <row r="57" spans="1:10" x14ac:dyDescent="0.3">
      <c r="A57" s="10"/>
      <c r="B57" s="54">
        <v>8</v>
      </c>
      <c r="C57" s="20">
        <v>50500000</v>
      </c>
      <c r="D57" s="12">
        <v>55800000</v>
      </c>
      <c r="E57" s="11">
        <f>SUM($C$50:C57)</f>
        <v>428500000</v>
      </c>
      <c r="F57" s="11">
        <f>SUM($D$50:D57)</f>
        <v>462300000</v>
      </c>
      <c r="J57" s="27"/>
    </row>
    <row r="58" spans="1:10" x14ac:dyDescent="0.3">
      <c r="A58" s="10"/>
      <c r="B58" s="54">
        <v>9</v>
      </c>
      <c r="C58" s="20">
        <v>37000000</v>
      </c>
      <c r="D58" s="12">
        <v>40800000</v>
      </c>
      <c r="E58" s="11">
        <f>SUM($C$50:C58)</f>
        <v>465500000</v>
      </c>
      <c r="F58" s="11">
        <f>SUM($D$50:D58)</f>
        <v>503100000</v>
      </c>
      <c r="J58" s="27"/>
    </row>
    <row r="59" spans="1:10" ht="15" thickBot="1" x14ac:dyDescent="0.35">
      <c r="A59" s="10"/>
      <c r="B59" s="55">
        <v>10</v>
      </c>
      <c r="C59" s="20">
        <v>74000000</v>
      </c>
      <c r="D59" s="12">
        <v>83100000</v>
      </c>
      <c r="E59" s="11">
        <f>SUM($C$50:C59)</f>
        <v>539500000</v>
      </c>
      <c r="F59" s="11">
        <f>SUM($D$50:D59)</f>
        <v>586200000</v>
      </c>
      <c r="J59" s="27"/>
    </row>
    <row r="60" spans="1:10" ht="15" thickBot="1" x14ac:dyDescent="0.35">
      <c r="A60" s="10"/>
      <c r="B60" s="55" t="s">
        <v>22</v>
      </c>
      <c r="C60" s="21">
        <v>539500000</v>
      </c>
      <c r="D60" s="15">
        <v>586200000</v>
      </c>
      <c r="E60" s="11"/>
      <c r="F60" s="11"/>
      <c r="J60" s="27"/>
    </row>
    <row r="61" spans="1:10" x14ac:dyDescent="0.3">
      <c r="A61" s="10"/>
      <c r="J61" s="27"/>
    </row>
    <row r="62" spans="1:10" x14ac:dyDescent="0.3">
      <c r="A62" s="10"/>
      <c r="J62" s="27"/>
    </row>
    <row r="63" spans="1:10" x14ac:dyDescent="0.3">
      <c r="A63" s="10"/>
      <c r="J63" s="27"/>
    </row>
    <row r="64" spans="1:10" x14ac:dyDescent="0.3">
      <c r="A64" s="10"/>
      <c r="J64" s="27"/>
    </row>
    <row r="65" spans="1:10" x14ac:dyDescent="0.3">
      <c r="A65" s="10"/>
      <c r="B65" s="7" t="s">
        <v>1</v>
      </c>
      <c r="C65" t="s">
        <v>35</v>
      </c>
      <c r="D65" t="s">
        <v>36</v>
      </c>
      <c r="J65" s="27"/>
    </row>
    <row r="66" spans="1:10" x14ac:dyDescent="0.3">
      <c r="A66" s="10"/>
      <c r="B66" s="31">
        <v>1</v>
      </c>
      <c r="C66" s="26">
        <v>28000000</v>
      </c>
      <c r="D66" s="26">
        <v>28900000</v>
      </c>
      <c r="J66" s="27"/>
    </row>
    <row r="67" spans="1:10" x14ac:dyDescent="0.3">
      <c r="A67" s="10"/>
      <c r="B67" s="31">
        <v>2</v>
      </c>
      <c r="C67" s="26">
        <v>84000000</v>
      </c>
      <c r="D67" s="26">
        <v>87400000</v>
      </c>
      <c r="J67" s="27"/>
    </row>
    <row r="68" spans="1:10" x14ac:dyDescent="0.3">
      <c r="A68" s="10"/>
      <c r="B68" s="31">
        <v>3</v>
      </c>
      <c r="C68" s="26">
        <v>154000000</v>
      </c>
      <c r="D68" s="26">
        <v>164400000</v>
      </c>
      <c r="J68" s="27"/>
    </row>
    <row r="69" spans="1:10" x14ac:dyDescent="0.3">
      <c r="A69" s="10"/>
      <c r="B69" s="31">
        <v>4</v>
      </c>
      <c r="C69" s="26">
        <v>230000000</v>
      </c>
      <c r="D69" s="26">
        <v>246900000</v>
      </c>
      <c r="J69" s="27"/>
    </row>
    <row r="70" spans="1:10" x14ac:dyDescent="0.3">
      <c r="A70" s="10"/>
      <c r="B70" s="31">
        <v>5</v>
      </c>
      <c r="C70" s="26">
        <v>273000000</v>
      </c>
      <c r="D70" s="26">
        <v>292100000</v>
      </c>
      <c r="J70" s="27"/>
    </row>
    <row r="71" spans="1:10" x14ac:dyDescent="0.3">
      <c r="A71" s="10"/>
      <c r="B71" s="31">
        <v>6</v>
      </c>
      <c r="C71" s="26">
        <v>325000000</v>
      </c>
      <c r="D71" s="26">
        <v>347600000</v>
      </c>
      <c r="J71" s="27"/>
    </row>
    <row r="72" spans="1:10" x14ac:dyDescent="0.3">
      <c r="A72" s="10"/>
      <c r="B72" s="31">
        <v>7</v>
      </c>
      <c r="C72" s="26">
        <v>378000000</v>
      </c>
      <c r="D72" s="26">
        <v>406500000</v>
      </c>
      <c r="J72" s="27"/>
    </row>
    <row r="73" spans="1:10" x14ac:dyDescent="0.3">
      <c r="A73" s="10"/>
      <c r="B73" s="31">
        <v>8</v>
      </c>
      <c r="C73" s="26">
        <v>428500000</v>
      </c>
      <c r="D73" s="26">
        <v>462300000</v>
      </c>
      <c r="J73" s="27"/>
    </row>
    <row r="74" spans="1:10" x14ac:dyDescent="0.3">
      <c r="A74" s="10"/>
      <c r="B74" s="31">
        <v>9</v>
      </c>
      <c r="C74" s="26">
        <v>465500000</v>
      </c>
      <c r="D74" s="26">
        <v>503100000</v>
      </c>
      <c r="J74" s="27"/>
    </row>
    <row r="75" spans="1:10" x14ac:dyDescent="0.3">
      <c r="A75" s="10"/>
      <c r="B75" s="31">
        <v>10</v>
      </c>
      <c r="C75" s="26">
        <v>539500000</v>
      </c>
      <c r="D75" s="26">
        <v>586200000</v>
      </c>
      <c r="J75" s="27"/>
    </row>
    <row r="76" spans="1:10" x14ac:dyDescent="0.3">
      <c r="A76" s="10"/>
      <c r="B76" s="31" t="s">
        <v>22</v>
      </c>
      <c r="C76" s="26">
        <v>2905500000</v>
      </c>
      <c r="D76" s="26">
        <v>3125400000</v>
      </c>
      <c r="J76" s="27"/>
    </row>
    <row r="77" spans="1:10" x14ac:dyDescent="0.3">
      <c r="A77" s="10"/>
      <c r="G77"/>
      <c r="H77"/>
      <c r="I77"/>
      <c r="J77" s="27"/>
    </row>
    <row r="78" spans="1:10" x14ac:dyDescent="0.3">
      <c r="A78" s="10"/>
      <c r="G78"/>
      <c r="H78"/>
      <c r="I78"/>
      <c r="J78" s="27"/>
    </row>
    <row r="79" spans="1:10" x14ac:dyDescent="0.3">
      <c r="A79" s="10"/>
      <c r="G79"/>
      <c r="H79"/>
      <c r="I79"/>
      <c r="J79" s="27"/>
    </row>
    <row r="80" spans="1:10" x14ac:dyDescent="0.3">
      <c r="A80" s="10"/>
      <c r="G80"/>
      <c r="H80"/>
      <c r="I80"/>
      <c r="J80" s="27"/>
    </row>
    <row r="81" spans="1:10" ht="15" thickBot="1" x14ac:dyDescent="0.35">
      <c r="A81" s="13"/>
      <c r="B81" s="28"/>
      <c r="C81" s="28"/>
      <c r="D81" s="28"/>
      <c r="E81" s="28"/>
      <c r="F81" s="28"/>
      <c r="G81" s="29"/>
      <c r="H81" s="29"/>
      <c r="I81" s="29"/>
      <c r="J81" s="30"/>
    </row>
    <row r="82" spans="1:10" x14ac:dyDescent="0.3">
      <c r="G82"/>
      <c r="H82"/>
      <c r="I82"/>
    </row>
  </sheetData>
  <mergeCells count="2">
    <mergeCell ref="B2:E2"/>
    <mergeCell ref="B25:E25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6CAD-4E30-46C8-9C46-F420BA354027}">
  <dimension ref="B1:O108"/>
  <sheetViews>
    <sheetView zoomScale="55" zoomScaleNormal="55" workbookViewId="0">
      <selection activeCell="H117" sqref="H117"/>
    </sheetView>
  </sheetViews>
  <sheetFormatPr baseColWidth="10" defaultRowHeight="14.4" x14ac:dyDescent="0.3"/>
  <cols>
    <col min="1" max="1" width="3.109375" style="1" customWidth="1"/>
    <col min="2" max="15" width="16.6640625" style="1" customWidth="1"/>
    <col min="16" max="16384" width="11.5546875" style="1"/>
  </cols>
  <sheetData>
    <row r="1" spans="2:15" ht="13.8" customHeight="1" thickBot="1" x14ac:dyDescent="0.35"/>
    <row r="2" spans="2:15" ht="34.200000000000003" customHeight="1" thickBot="1" x14ac:dyDescent="0.35">
      <c r="B2" s="50" t="s">
        <v>37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</row>
    <row r="3" spans="2:15" x14ac:dyDescent="0.3">
      <c r="B3" s="41"/>
      <c r="C3" s="42"/>
      <c r="D3" s="42"/>
      <c r="E3" s="42"/>
      <c r="F3" s="42"/>
      <c r="G3" s="42"/>
      <c r="H3" s="43"/>
      <c r="I3" s="41"/>
      <c r="J3" s="42"/>
      <c r="K3" s="42"/>
      <c r="L3" s="42"/>
      <c r="M3" s="42"/>
      <c r="N3" s="42"/>
      <c r="O3" s="43"/>
    </row>
    <row r="4" spans="2:15" x14ac:dyDescent="0.3">
      <c r="B4" s="44"/>
      <c r="C4" s="45"/>
      <c r="D4" s="45"/>
      <c r="E4" s="45"/>
      <c r="F4" s="45"/>
      <c r="G4" s="45"/>
      <c r="H4" s="46"/>
      <c r="I4" s="44"/>
      <c r="J4" s="45"/>
      <c r="K4" s="45"/>
      <c r="L4" s="45"/>
      <c r="M4" s="45"/>
      <c r="N4" s="45"/>
      <c r="O4" s="46"/>
    </row>
    <row r="5" spans="2:15" x14ac:dyDescent="0.3">
      <c r="B5" s="44"/>
      <c r="C5" s="45"/>
      <c r="D5" s="45"/>
      <c r="E5" s="45"/>
      <c r="F5" s="45"/>
      <c r="G5" s="45"/>
      <c r="H5" s="46"/>
      <c r="I5" s="44"/>
      <c r="J5" s="45"/>
      <c r="K5" s="45"/>
      <c r="L5" s="45"/>
      <c r="M5" s="45"/>
      <c r="N5" s="45"/>
      <c r="O5" s="46"/>
    </row>
    <row r="6" spans="2:15" x14ac:dyDescent="0.3">
      <c r="B6" s="44"/>
      <c r="C6" s="45"/>
      <c r="D6" s="45"/>
      <c r="E6" s="45"/>
      <c r="F6" s="45"/>
      <c r="G6" s="45"/>
      <c r="H6" s="46"/>
      <c r="I6" s="44"/>
      <c r="J6" s="45"/>
      <c r="K6" s="45"/>
      <c r="L6" s="45"/>
      <c r="M6" s="45"/>
      <c r="N6" s="45"/>
      <c r="O6" s="46"/>
    </row>
    <row r="7" spans="2:15" x14ac:dyDescent="0.3">
      <c r="B7" s="44"/>
      <c r="C7" s="45"/>
      <c r="D7" s="45"/>
      <c r="E7" s="45"/>
      <c r="F7" s="45"/>
      <c r="G7" s="45"/>
      <c r="H7" s="46"/>
      <c r="I7" s="44"/>
      <c r="J7" s="45"/>
      <c r="K7" s="45"/>
      <c r="L7" s="45"/>
      <c r="M7" s="45"/>
      <c r="N7" s="45"/>
      <c r="O7" s="46"/>
    </row>
    <row r="8" spans="2:15" x14ac:dyDescent="0.3">
      <c r="B8" s="44"/>
      <c r="C8" s="45"/>
      <c r="D8" s="45"/>
      <c r="E8" s="45"/>
      <c r="F8" s="45"/>
      <c r="G8" s="45"/>
      <c r="H8" s="46"/>
      <c r="I8" s="44"/>
      <c r="J8" s="45"/>
      <c r="K8" s="45"/>
      <c r="L8" s="45"/>
      <c r="M8" s="45"/>
      <c r="N8" s="45"/>
      <c r="O8" s="46"/>
    </row>
    <row r="9" spans="2:15" x14ac:dyDescent="0.3">
      <c r="B9" s="44"/>
      <c r="C9" s="45"/>
      <c r="D9" s="45"/>
      <c r="E9" s="45"/>
      <c r="F9" s="45"/>
      <c r="G9" s="45"/>
      <c r="H9" s="46"/>
      <c r="I9" s="44"/>
      <c r="J9" s="45"/>
      <c r="K9" s="45"/>
      <c r="L9" s="45"/>
      <c r="M9" s="45"/>
      <c r="N9" s="45"/>
      <c r="O9" s="46"/>
    </row>
    <row r="10" spans="2:15" x14ac:dyDescent="0.3">
      <c r="B10" s="44"/>
      <c r="C10" s="45"/>
      <c r="D10" s="45"/>
      <c r="E10" s="45"/>
      <c r="F10" s="45"/>
      <c r="G10" s="45"/>
      <c r="H10" s="46"/>
      <c r="I10" s="44"/>
      <c r="J10" s="45"/>
      <c r="K10" s="45"/>
      <c r="L10" s="45"/>
      <c r="M10" s="45"/>
      <c r="N10" s="45"/>
      <c r="O10" s="46"/>
    </row>
    <row r="11" spans="2:15" x14ac:dyDescent="0.3">
      <c r="B11" s="44"/>
      <c r="C11" s="45"/>
      <c r="D11" s="45"/>
      <c r="E11" s="45"/>
      <c r="F11" s="45"/>
      <c r="G11" s="45"/>
      <c r="H11" s="46"/>
      <c r="I11" s="44"/>
      <c r="J11" s="45"/>
      <c r="K11" s="45"/>
      <c r="L11" s="45"/>
      <c r="M11" s="45"/>
      <c r="N11" s="45"/>
      <c r="O11" s="46"/>
    </row>
    <row r="12" spans="2:15" x14ac:dyDescent="0.3">
      <c r="B12" s="44"/>
      <c r="C12" s="45"/>
      <c r="D12" s="45"/>
      <c r="E12" s="45"/>
      <c r="F12" s="45"/>
      <c r="G12" s="45"/>
      <c r="H12" s="46"/>
      <c r="I12" s="44"/>
      <c r="J12" s="45"/>
      <c r="K12" s="45"/>
      <c r="L12" s="45"/>
      <c r="M12" s="45"/>
      <c r="N12" s="45"/>
      <c r="O12" s="46"/>
    </row>
    <row r="13" spans="2:15" x14ac:dyDescent="0.3">
      <c r="B13" s="44"/>
      <c r="C13" s="45"/>
      <c r="D13" s="45"/>
      <c r="E13" s="45"/>
      <c r="F13" s="45"/>
      <c r="G13" s="45"/>
      <c r="H13" s="46"/>
      <c r="I13" s="44"/>
      <c r="J13" s="45"/>
      <c r="K13" s="45"/>
      <c r="L13" s="45"/>
      <c r="M13" s="45"/>
      <c r="N13" s="45"/>
      <c r="O13" s="46"/>
    </row>
    <row r="14" spans="2:15" x14ac:dyDescent="0.3">
      <c r="B14" s="44"/>
      <c r="C14" s="45"/>
      <c r="D14" s="45"/>
      <c r="E14" s="45"/>
      <c r="F14" s="45"/>
      <c r="G14" s="45"/>
      <c r="H14" s="46"/>
      <c r="I14" s="44"/>
      <c r="J14" s="45"/>
      <c r="K14" s="45"/>
      <c r="L14" s="45"/>
      <c r="M14" s="45"/>
      <c r="N14" s="45"/>
      <c r="O14" s="46"/>
    </row>
    <row r="15" spans="2:15" x14ac:dyDescent="0.3">
      <c r="B15" s="44"/>
      <c r="C15" s="45"/>
      <c r="D15" s="45"/>
      <c r="E15" s="45"/>
      <c r="F15" s="45"/>
      <c r="G15" s="45"/>
      <c r="H15" s="46"/>
      <c r="I15" s="44"/>
      <c r="J15" s="45"/>
      <c r="K15" s="45"/>
      <c r="L15" s="45"/>
      <c r="M15" s="45"/>
      <c r="N15" s="45"/>
      <c r="O15" s="46"/>
    </row>
    <row r="16" spans="2:15" x14ac:dyDescent="0.3">
      <c r="B16" s="44"/>
      <c r="C16" s="45"/>
      <c r="D16" s="45"/>
      <c r="E16" s="45"/>
      <c r="F16" s="45"/>
      <c r="G16" s="45"/>
      <c r="H16" s="46"/>
      <c r="I16" s="44"/>
      <c r="J16" s="45"/>
      <c r="K16" s="45"/>
      <c r="L16" s="45"/>
      <c r="M16" s="45"/>
      <c r="N16" s="45"/>
      <c r="O16" s="46"/>
    </row>
    <row r="17" spans="2:15" x14ac:dyDescent="0.3">
      <c r="B17" s="44"/>
      <c r="C17" s="45"/>
      <c r="D17" s="45"/>
      <c r="E17" s="45"/>
      <c r="F17" s="45"/>
      <c r="G17" s="45"/>
      <c r="H17" s="46"/>
      <c r="I17" s="44"/>
      <c r="J17" s="45"/>
      <c r="K17" s="45"/>
      <c r="L17" s="45"/>
      <c r="M17" s="45"/>
      <c r="N17" s="45"/>
      <c r="O17" s="46"/>
    </row>
    <row r="18" spans="2:15" ht="15" thickBot="1" x14ac:dyDescent="0.35">
      <c r="B18" s="47"/>
      <c r="C18" s="48"/>
      <c r="D18" s="48"/>
      <c r="E18" s="48"/>
      <c r="F18" s="48"/>
      <c r="G18" s="48"/>
      <c r="H18" s="49"/>
      <c r="I18" s="47"/>
      <c r="J18" s="48"/>
      <c r="K18" s="48"/>
      <c r="L18" s="48"/>
      <c r="M18" s="48"/>
      <c r="N18" s="48"/>
      <c r="O18" s="49"/>
    </row>
    <row r="19" spans="2:15" x14ac:dyDescent="0.3">
      <c r="B19" s="41"/>
      <c r="C19" s="42"/>
      <c r="D19" s="42"/>
      <c r="E19" s="42"/>
      <c r="F19" s="42"/>
      <c r="G19" s="42"/>
      <c r="H19" s="43"/>
      <c r="I19" s="41"/>
      <c r="J19" s="42"/>
      <c r="K19" s="42"/>
      <c r="L19" s="42"/>
      <c r="M19" s="42"/>
      <c r="N19" s="42"/>
      <c r="O19" s="43"/>
    </row>
    <row r="20" spans="2:15" x14ac:dyDescent="0.3">
      <c r="B20" s="44"/>
      <c r="C20" s="45"/>
      <c r="D20" s="45"/>
      <c r="E20" s="45"/>
      <c r="F20" s="45"/>
      <c r="G20" s="45"/>
      <c r="H20" s="46"/>
      <c r="I20" s="44"/>
      <c r="J20" s="45"/>
      <c r="K20" s="45"/>
      <c r="L20" s="45"/>
      <c r="M20" s="45"/>
      <c r="N20" s="45"/>
      <c r="O20" s="46"/>
    </row>
    <row r="21" spans="2:15" x14ac:dyDescent="0.3">
      <c r="B21" s="44"/>
      <c r="C21" s="45"/>
      <c r="D21" s="45"/>
      <c r="E21" s="45"/>
      <c r="F21" s="45"/>
      <c r="G21" s="45"/>
      <c r="H21" s="46"/>
      <c r="I21" s="44"/>
      <c r="J21" s="45"/>
      <c r="K21" s="45"/>
      <c r="L21" s="45"/>
      <c r="M21" s="45"/>
      <c r="N21" s="45"/>
      <c r="O21" s="46"/>
    </row>
    <row r="22" spans="2:15" x14ac:dyDescent="0.3">
      <c r="B22" s="44"/>
      <c r="C22" s="45"/>
      <c r="D22" s="45"/>
      <c r="E22" s="45"/>
      <c r="F22" s="45"/>
      <c r="G22" s="45"/>
      <c r="H22" s="46"/>
      <c r="I22" s="44"/>
      <c r="J22" s="45"/>
      <c r="K22" s="45"/>
      <c r="L22" s="45"/>
      <c r="M22" s="45"/>
      <c r="N22" s="45"/>
      <c r="O22" s="46"/>
    </row>
    <row r="23" spans="2:15" x14ac:dyDescent="0.3">
      <c r="B23" s="44"/>
      <c r="C23" s="45"/>
      <c r="D23" s="45"/>
      <c r="E23" s="45"/>
      <c r="F23" s="45"/>
      <c r="G23" s="45"/>
      <c r="H23" s="46"/>
      <c r="I23" s="44"/>
      <c r="J23" s="45"/>
      <c r="K23" s="45"/>
      <c r="L23" s="45"/>
      <c r="M23" s="45"/>
      <c r="N23" s="45"/>
      <c r="O23" s="46"/>
    </row>
    <row r="24" spans="2:15" x14ac:dyDescent="0.3">
      <c r="B24" s="44"/>
      <c r="C24" s="45"/>
      <c r="D24" s="45"/>
      <c r="E24" s="45"/>
      <c r="F24" s="45"/>
      <c r="G24" s="45"/>
      <c r="H24" s="46"/>
      <c r="I24" s="44"/>
      <c r="J24" s="45"/>
      <c r="K24" s="45"/>
      <c r="L24" s="45"/>
      <c r="M24" s="45"/>
      <c r="N24" s="45"/>
      <c r="O24" s="46"/>
    </row>
    <row r="25" spans="2:15" x14ac:dyDescent="0.3">
      <c r="B25" s="44"/>
      <c r="C25" s="45"/>
      <c r="D25" s="45"/>
      <c r="E25" s="45"/>
      <c r="F25" s="45"/>
      <c r="G25" s="45"/>
      <c r="H25" s="46"/>
      <c r="I25" s="44"/>
      <c r="J25" s="45"/>
      <c r="K25" s="45"/>
      <c r="L25" s="45"/>
      <c r="M25" s="45"/>
      <c r="N25" s="45"/>
      <c r="O25" s="46"/>
    </row>
    <row r="26" spans="2:15" x14ac:dyDescent="0.3">
      <c r="B26" s="44"/>
      <c r="C26" s="45"/>
      <c r="D26" s="45"/>
      <c r="E26" s="45"/>
      <c r="F26" s="45"/>
      <c r="G26" s="45"/>
      <c r="H26" s="46"/>
      <c r="I26" s="44"/>
      <c r="J26" s="45"/>
      <c r="K26" s="45"/>
      <c r="L26" s="45"/>
      <c r="M26" s="45"/>
      <c r="N26" s="45"/>
      <c r="O26" s="46"/>
    </row>
    <row r="27" spans="2:15" x14ac:dyDescent="0.3">
      <c r="B27" s="44"/>
      <c r="C27" s="45"/>
      <c r="D27" s="45"/>
      <c r="E27" s="45"/>
      <c r="F27" s="45"/>
      <c r="G27" s="45"/>
      <c r="H27" s="46"/>
      <c r="I27" s="44"/>
      <c r="J27" s="45"/>
      <c r="K27" s="45"/>
      <c r="L27" s="45"/>
      <c r="M27" s="45"/>
      <c r="N27" s="45"/>
      <c r="O27" s="46"/>
    </row>
    <row r="28" spans="2:15" x14ac:dyDescent="0.3">
      <c r="B28" s="44"/>
      <c r="C28" s="45"/>
      <c r="D28" s="45"/>
      <c r="E28" s="45"/>
      <c r="F28" s="45"/>
      <c r="G28" s="45"/>
      <c r="H28" s="46"/>
      <c r="I28" s="44"/>
      <c r="J28" s="45"/>
      <c r="K28" s="45"/>
      <c r="L28" s="45"/>
      <c r="M28" s="45"/>
      <c r="N28" s="45"/>
      <c r="O28" s="46"/>
    </row>
    <row r="29" spans="2:15" x14ac:dyDescent="0.3">
      <c r="B29" s="44"/>
      <c r="C29" s="45"/>
      <c r="D29" s="45"/>
      <c r="E29" s="45"/>
      <c r="F29" s="45"/>
      <c r="G29" s="45"/>
      <c r="H29" s="46"/>
      <c r="I29" s="44"/>
      <c r="J29" s="45"/>
      <c r="K29" s="45"/>
      <c r="L29" s="45"/>
      <c r="M29" s="45"/>
      <c r="N29" s="45"/>
      <c r="O29" s="46"/>
    </row>
    <row r="30" spans="2:15" x14ac:dyDescent="0.3">
      <c r="B30" s="44"/>
      <c r="C30" s="45"/>
      <c r="D30" s="45"/>
      <c r="E30" s="45"/>
      <c r="F30" s="45"/>
      <c r="G30" s="45"/>
      <c r="H30" s="46"/>
      <c r="I30" s="44"/>
      <c r="J30" s="45"/>
      <c r="K30" s="45"/>
      <c r="L30" s="45"/>
      <c r="M30" s="45"/>
      <c r="N30" s="45"/>
      <c r="O30" s="46"/>
    </row>
    <row r="31" spans="2:15" x14ac:dyDescent="0.3">
      <c r="B31" s="44"/>
      <c r="C31" s="45"/>
      <c r="D31" s="45"/>
      <c r="E31" s="45"/>
      <c r="F31" s="45"/>
      <c r="G31" s="45"/>
      <c r="H31" s="46"/>
      <c r="I31" s="44"/>
      <c r="J31" s="45"/>
      <c r="K31" s="45"/>
      <c r="L31" s="45"/>
      <c r="M31" s="45"/>
      <c r="N31" s="45"/>
      <c r="O31" s="46"/>
    </row>
    <row r="32" spans="2:15" x14ac:dyDescent="0.3">
      <c r="B32" s="44"/>
      <c r="C32" s="45"/>
      <c r="D32" s="45"/>
      <c r="E32" s="45"/>
      <c r="F32" s="45"/>
      <c r="G32" s="45"/>
      <c r="H32" s="46"/>
      <c r="I32" s="44"/>
      <c r="J32" s="45"/>
      <c r="K32" s="45"/>
      <c r="L32" s="45"/>
      <c r="M32" s="45"/>
      <c r="N32" s="45"/>
      <c r="O32" s="46"/>
    </row>
    <row r="33" spans="2:15" x14ac:dyDescent="0.3">
      <c r="B33" s="44"/>
      <c r="C33" s="45"/>
      <c r="D33" s="45"/>
      <c r="E33" s="45"/>
      <c r="F33" s="45"/>
      <c r="G33" s="45"/>
      <c r="H33" s="46"/>
      <c r="I33" s="44"/>
      <c r="J33" s="45"/>
      <c r="K33" s="45"/>
      <c r="L33" s="45"/>
      <c r="M33" s="45"/>
      <c r="N33" s="45"/>
      <c r="O33" s="46"/>
    </row>
    <row r="34" spans="2:15" x14ac:dyDescent="0.3">
      <c r="B34" s="44"/>
      <c r="C34" s="45"/>
      <c r="D34" s="45"/>
      <c r="E34" s="45"/>
      <c r="F34" s="45"/>
      <c r="G34" s="45"/>
      <c r="H34" s="46"/>
      <c r="I34" s="44"/>
      <c r="J34" s="45"/>
      <c r="K34" s="45"/>
      <c r="L34" s="45"/>
      <c r="M34" s="45"/>
      <c r="N34" s="45"/>
      <c r="O34" s="46"/>
    </row>
    <row r="35" spans="2:15" x14ac:dyDescent="0.3">
      <c r="B35" s="44"/>
      <c r="C35" s="45"/>
      <c r="D35" s="45"/>
      <c r="E35" s="45"/>
      <c r="F35" s="45"/>
      <c r="G35" s="45"/>
      <c r="H35" s="46"/>
      <c r="I35" s="44"/>
      <c r="J35" s="45"/>
      <c r="K35" s="45"/>
      <c r="L35" s="45"/>
      <c r="M35" s="45"/>
      <c r="N35" s="45"/>
      <c r="O35" s="46"/>
    </row>
    <row r="36" spans="2:15" x14ac:dyDescent="0.3">
      <c r="B36" s="44"/>
      <c r="C36" s="45"/>
      <c r="D36" s="45"/>
      <c r="E36" s="45"/>
      <c r="F36" s="45"/>
      <c r="G36" s="45"/>
      <c r="H36" s="46"/>
      <c r="I36" s="44"/>
      <c r="J36" s="45"/>
      <c r="K36" s="45"/>
      <c r="L36" s="45"/>
      <c r="M36" s="45"/>
      <c r="N36" s="45"/>
      <c r="O36" s="46"/>
    </row>
    <row r="37" spans="2:15" ht="15" thickBot="1" x14ac:dyDescent="0.35">
      <c r="B37" s="47"/>
      <c r="C37" s="48"/>
      <c r="D37" s="48"/>
      <c r="E37" s="48"/>
      <c r="F37" s="48"/>
      <c r="G37" s="48"/>
      <c r="H37" s="49"/>
      <c r="I37" s="47"/>
      <c r="J37" s="48"/>
      <c r="K37" s="48"/>
      <c r="L37" s="48"/>
      <c r="M37" s="48"/>
      <c r="N37" s="48"/>
      <c r="O37" s="49"/>
    </row>
    <row r="38" spans="2:15" x14ac:dyDescent="0.3">
      <c r="B38" s="41"/>
      <c r="C38" s="42"/>
      <c r="D38" s="42"/>
      <c r="E38" s="42"/>
      <c r="F38" s="42"/>
      <c r="G38" s="42"/>
      <c r="H38" s="43"/>
      <c r="I38" s="41"/>
      <c r="J38" s="42"/>
      <c r="K38" s="42"/>
      <c r="L38" s="42"/>
      <c r="M38" s="42"/>
      <c r="N38" s="42"/>
      <c r="O38" s="43"/>
    </row>
    <row r="39" spans="2:15" x14ac:dyDescent="0.3">
      <c r="B39" s="44"/>
      <c r="C39" s="45"/>
      <c r="D39" s="45"/>
      <c r="E39" s="45"/>
      <c r="F39" s="45"/>
      <c r="G39" s="45"/>
      <c r="H39" s="46"/>
      <c r="I39" s="44"/>
      <c r="J39" s="45"/>
      <c r="K39" s="45"/>
      <c r="L39" s="45"/>
      <c r="M39" s="45"/>
      <c r="N39" s="45"/>
      <c r="O39" s="46"/>
    </row>
    <row r="40" spans="2:15" x14ac:dyDescent="0.3">
      <c r="B40" s="44"/>
      <c r="C40" s="45"/>
      <c r="D40" s="45"/>
      <c r="E40" s="45"/>
      <c r="F40" s="45"/>
      <c r="G40" s="45"/>
      <c r="H40" s="46"/>
      <c r="I40" s="44"/>
      <c r="J40" s="45"/>
      <c r="K40" s="45"/>
      <c r="L40" s="45"/>
      <c r="M40" s="45"/>
      <c r="N40" s="45"/>
      <c r="O40" s="46"/>
    </row>
    <row r="41" spans="2:15" x14ac:dyDescent="0.3">
      <c r="B41" s="44"/>
      <c r="C41" s="45"/>
      <c r="D41" s="45"/>
      <c r="E41" s="45"/>
      <c r="F41" s="45"/>
      <c r="G41" s="45"/>
      <c r="H41" s="46"/>
      <c r="I41" s="44"/>
      <c r="J41" s="45"/>
      <c r="K41" s="45"/>
      <c r="L41" s="45"/>
      <c r="M41" s="45"/>
      <c r="N41" s="45"/>
      <c r="O41" s="46"/>
    </row>
    <row r="42" spans="2:15" x14ac:dyDescent="0.3">
      <c r="B42" s="44"/>
      <c r="C42" s="45"/>
      <c r="D42" s="45"/>
      <c r="E42" s="45"/>
      <c r="F42" s="45"/>
      <c r="G42" s="45"/>
      <c r="H42" s="46"/>
      <c r="I42" s="44"/>
      <c r="J42" s="45"/>
      <c r="K42" s="45"/>
      <c r="L42" s="45"/>
      <c r="M42" s="45"/>
      <c r="N42" s="45"/>
      <c r="O42" s="46"/>
    </row>
    <row r="43" spans="2:15" x14ac:dyDescent="0.3">
      <c r="B43" s="44"/>
      <c r="C43" s="45"/>
      <c r="D43" s="45"/>
      <c r="E43" s="45"/>
      <c r="F43" s="45"/>
      <c r="G43" s="45"/>
      <c r="H43" s="46"/>
      <c r="I43" s="44"/>
      <c r="J43" s="45"/>
      <c r="K43" s="45"/>
      <c r="L43" s="45"/>
      <c r="M43" s="45"/>
      <c r="N43" s="45"/>
      <c r="O43" s="46"/>
    </row>
    <row r="44" spans="2:15" x14ac:dyDescent="0.3">
      <c r="B44" s="44"/>
      <c r="C44" s="45"/>
      <c r="D44" s="45"/>
      <c r="E44" s="45"/>
      <c r="F44" s="45"/>
      <c r="G44" s="45"/>
      <c r="H44" s="46"/>
      <c r="I44" s="44"/>
      <c r="J44" s="45"/>
      <c r="K44" s="45"/>
      <c r="L44" s="45"/>
      <c r="M44" s="45"/>
      <c r="N44" s="45"/>
      <c r="O44" s="46"/>
    </row>
    <row r="45" spans="2:15" x14ac:dyDescent="0.3">
      <c r="B45" s="44"/>
      <c r="C45" s="45"/>
      <c r="D45" s="45"/>
      <c r="E45" s="45"/>
      <c r="F45" s="45"/>
      <c r="G45" s="45"/>
      <c r="H45" s="46"/>
      <c r="I45" s="44"/>
      <c r="J45" s="45"/>
      <c r="K45" s="45"/>
      <c r="L45" s="45"/>
      <c r="M45" s="45"/>
      <c r="N45" s="45"/>
      <c r="O45" s="46"/>
    </row>
    <row r="46" spans="2:15" x14ac:dyDescent="0.3">
      <c r="B46" s="44"/>
      <c r="C46" s="45"/>
      <c r="D46" s="45"/>
      <c r="E46" s="45"/>
      <c r="F46" s="45"/>
      <c r="G46" s="45"/>
      <c r="H46" s="46"/>
      <c r="I46" s="44"/>
      <c r="J46" s="45"/>
      <c r="K46" s="45"/>
      <c r="L46" s="45"/>
      <c r="M46" s="45"/>
      <c r="N46" s="45"/>
      <c r="O46" s="46"/>
    </row>
    <row r="47" spans="2:15" x14ac:dyDescent="0.3">
      <c r="B47" s="44"/>
      <c r="C47" s="45"/>
      <c r="D47" s="45"/>
      <c r="E47" s="45"/>
      <c r="F47" s="45"/>
      <c r="G47" s="45"/>
      <c r="H47" s="46"/>
      <c r="I47" s="44"/>
      <c r="J47" s="45"/>
      <c r="K47" s="45"/>
      <c r="L47" s="45"/>
      <c r="M47" s="45"/>
      <c r="N47" s="45"/>
      <c r="O47" s="46"/>
    </row>
    <row r="48" spans="2:15" x14ac:dyDescent="0.3">
      <c r="B48" s="44"/>
      <c r="C48" s="45"/>
      <c r="D48" s="45"/>
      <c r="E48" s="45"/>
      <c r="F48" s="45"/>
      <c r="G48" s="45"/>
      <c r="H48" s="46"/>
      <c r="I48" s="44"/>
      <c r="J48" s="45"/>
      <c r="K48" s="45"/>
      <c r="L48" s="45"/>
      <c r="M48" s="45"/>
      <c r="N48" s="45"/>
      <c r="O48" s="46"/>
    </row>
    <row r="49" spans="2:15" x14ac:dyDescent="0.3">
      <c r="B49" s="44"/>
      <c r="C49" s="45"/>
      <c r="D49" s="45"/>
      <c r="E49" s="45"/>
      <c r="F49" s="45"/>
      <c r="G49" s="45"/>
      <c r="H49" s="46"/>
      <c r="I49" s="44"/>
      <c r="J49" s="45"/>
      <c r="K49" s="45"/>
      <c r="L49" s="45"/>
      <c r="M49" s="45"/>
      <c r="N49" s="45"/>
      <c r="O49" s="46"/>
    </row>
    <row r="50" spans="2:15" x14ac:dyDescent="0.3">
      <c r="B50" s="44"/>
      <c r="C50" s="45"/>
      <c r="D50" s="45"/>
      <c r="E50" s="45"/>
      <c r="F50" s="45"/>
      <c r="G50" s="45"/>
      <c r="H50" s="46"/>
      <c r="I50" s="44"/>
      <c r="J50" s="45"/>
      <c r="K50" s="45"/>
      <c r="L50" s="45"/>
      <c r="M50" s="45"/>
      <c r="N50" s="45"/>
      <c r="O50" s="46"/>
    </row>
    <row r="51" spans="2:15" x14ac:dyDescent="0.3">
      <c r="B51" s="44"/>
      <c r="C51" s="45"/>
      <c r="D51" s="45"/>
      <c r="E51" s="45"/>
      <c r="F51" s="45"/>
      <c r="G51" s="45"/>
      <c r="H51" s="46"/>
      <c r="I51" s="44"/>
      <c r="J51" s="45"/>
      <c r="K51" s="45"/>
      <c r="L51" s="45"/>
      <c r="M51" s="45"/>
      <c r="N51" s="45"/>
      <c r="O51" s="46"/>
    </row>
    <row r="52" spans="2:15" x14ac:dyDescent="0.3">
      <c r="B52" s="44"/>
      <c r="C52" s="45"/>
      <c r="D52" s="45"/>
      <c r="E52" s="45"/>
      <c r="F52" s="45"/>
      <c r="G52" s="45"/>
      <c r="H52" s="46"/>
      <c r="I52" s="44"/>
      <c r="J52" s="45"/>
      <c r="K52" s="45"/>
      <c r="L52" s="45"/>
      <c r="M52" s="45"/>
      <c r="N52" s="45"/>
      <c r="O52" s="46"/>
    </row>
    <row r="53" spans="2:15" x14ac:dyDescent="0.3">
      <c r="B53" s="44"/>
      <c r="C53" s="45"/>
      <c r="D53" s="45"/>
      <c r="E53" s="45"/>
      <c r="F53" s="45"/>
      <c r="G53" s="45"/>
      <c r="H53" s="46"/>
      <c r="I53" s="44"/>
      <c r="J53" s="45"/>
      <c r="K53" s="45"/>
      <c r="L53" s="45"/>
      <c r="M53" s="45"/>
      <c r="N53" s="45"/>
      <c r="O53" s="46"/>
    </row>
    <row r="54" spans="2:15" x14ac:dyDescent="0.3">
      <c r="B54" s="44"/>
      <c r="C54" s="45"/>
      <c r="D54" s="45"/>
      <c r="E54" s="45"/>
      <c r="F54" s="45"/>
      <c r="G54" s="45"/>
      <c r="H54" s="46"/>
      <c r="I54" s="44"/>
      <c r="J54" s="45"/>
      <c r="K54" s="45"/>
      <c r="L54" s="45"/>
      <c r="M54" s="45"/>
      <c r="N54" s="45"/>
      <c r="O54" s="46"/>
    </row>
    <row r="55" spans="2:15" ht="15" thickBot="1" x14ac:dyDescent="0.35">
      <c r="B55" s="47"/>
      <c r="C55" s="48"/>
      <c r="D55" s="48"/>
      <c r="E55" s="48"/>
      <c r="F55" s="48"/>
      <c r="G55" s="48"/>
      <c r="H55" s="49"/>
      <c r="I55" s="47"/>
      <c r="J55" s="48"/>
      <c r="K55" s="48"/>
      <c r="L55" s="48"/>
      <c r="M55" s="48"/>
      <c r="N55" s="48"/>
      <c r="O55" s="49"/>
    </row>
    <row r="56" spans="2:15" x14ac:dyDescent="0.3"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3"/>
    </row>
    <row r="57" spans="2:15" x14ac:dyDescent="0.3">
      <c r="B57" s="44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6"/>
    </row>
    <row r="58" spans="2:15" x14ac:dyDescent="0.3"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6"/>
    </row>
    <row r="59" spans="2:15" x14ac:dyDescent="0.3"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6"/>
    </row>
    <row r="60" spans="2:15" x14ac:dyDescent="0.3"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6"/>
    </row>
    <row r="61" spans="2:15" x14ac:dyDescent="0.3"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6"/>
    </row>
    <row r="62" spans="2:15" x14ac:dyDescent="0.3">
      <c r="B62" s="44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</row>
    <row r="63" spans="2:15" x14ac:dyDescent="0.3">
      <c r="B63" s="44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6"/>
    </row>
    <row r="64" spans="2:15" x14ac:dyDescent="0.3">
      <c r="B64" s="44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6"/>
    </row>
    <row r="65" spans="2:15" x14ac:dyDescent="0.3">
      <c r="B65" s="44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6"/>
    </row>
    <row r="66" spans="2:15" x14ac:dyDescent="0.3">
      <c r="B66" s="44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6"/>
    </row>
    <row r="67" spans="2:15" x14ac:dyDescent="0.3"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6"/>
    </row>
    <row r="68" spans="2:15" x14ac:dyDescent="0.3">
      <c r="B68" s="44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6"/>
    </row>
    <row r="69" spans="2:15" x14ac:dyDescent="0.3">
      <c r="B69" s="44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6"/>
    </row>
    <row r="70" spans="2:15" x14ac:dyDescent="0.3"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6"/>
    </row>
    <row r="71" spans="2:15" x14ac:dyDescent="0.3">
      <c r="B71" s="44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6"/>
    </row>
    <row r="72" spans="2:15" x14ac:dyDescent="0.3">
      <c r="B72" s="44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6"/>
    </row>
    <row r="73" spans="2:15" x14ac:dyDescent="0.3"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6"/>
    </row>
    <row r="74" spans="2:15" x14ac:dyDescent="0.3"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6"/>
    </row>
    <row r="75" spans="2:15" x14ac:dyDescent="0.3">
      <c r="B75" s="44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</row>
    <row r="76" spans="2:15" x14ac:dyDescent="0.3">
      <c r="B76" s="44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6"/>
    </row>
    <row r="77" spans="2:15" x14ac:dyDescent="0.3">
      <c r="B77" s="44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6"/>
    </row>
    <row r="78" spans="2:15" x14ac:dyDescent="0.3">
      <c r="B78" s="44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6"/>
    </row>
    <row r="79" spans="2:15" ht="15" thickBot="1" x14ac:dyDescent="0.35"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9"/>
    </row>
    <row r="81" spans="2:13" hidden="1" x14ac:dyDescent="0.3"/>
    <row r="82" spans="2:13" hidden="1" x14ac:dyDescent="0.3"/>
    <row r="83" spans="2:13" hidden="1" x14ac:dyDescent="0.3">
      <c r="B83" s="7" t="s">
        <v>2</v>
      </c>
      <c r="C83" t="s">
        <v>23</v>
      </c>
      <c r="J83"/>
      <c r="K83"/>
    </row>
    <row r="84" spans="2:13" hidden="1" x14ac:dyDescent="0.3">
      <c r="B84" t="s">
        <v>12</v>
      </c>
      <c r="C84" s="26">
        <v>146000000</v>
      </c>
    </row>
    <row r="85" spans="2:13" hidden="1" x14ac:dyDescent="0.3">
      <c r="B85" t="s">
        <v>15</v>
      </c>
      <c r="C85" s="26">
        <v>103500000</v>
      </c>
      <c r="J85" s="7" t="s">
        <v>27</v>
      </c>
      <c r="K85" t="s">
        <v>40</v>
      </c>
      <c r="L85" t="s">
        <v>41</v>
      </c>
      <c r="M85" t="s">
        <v>42</v>
      </c>
    </row>
    <row r="86" spans="2:13" hidden="1" x14ac:dyDescent="0.3">
      <c r="B86" t="s">
        <v>11</v>
      </c>
      <c r="C86" s="26">
        <v>56000000</v>
      </c>
      <c r="J86" s="31" t="s">
        <v>15</v>
      </c>
      <c r="K86" s="26">
        <v>103500000</v>
      </c>
      <c r="L86" s="26">
        <v>114700000</v>
      </c>
      <c r="M86" s="26">
        <v>11200000</v>
      </c>
    </row>
    <row r="87" spans="2:13" hidden="1" x14ac:dyDescent="0.3">
      <c r="B87" t="s">
        <v>14</v>
      </c>
      <c r="C87" s="26">
        <v>52000000</v>
      </c>
      <c r="J87" s="31" t="s">
        <v>17</v>
      </c>
      <c r="K87" s="26">
        <v>44000000</v>
      </c>
      <c r="L87" s="26">
        <v>49300000</v>
      </c>
      <c r="M87" s="26">
        <v>5300000</v>
      </c>
    </row>
    <row r="88" spans="2:13" hidden="1" x14ac:dyDescent="0.3">
      <c r="B88" t="s">
        <v>17</v>
      </c>
      <c r="C88" s="26">
        <v>44000000</v>
      </c>
      <c r="J88" s="31" t="s">
        <v>11</v>
      </c>
      <c r="K88" s="26">
        <v>56000000</v>
      </c>
      <c r="L88" s="26">
        <v>58500000</v>
      </c>
      <c r="M88" s="26">
        <v>2500000</v>
      </c>
    </row>
    <row r="89" spans="2:13" hidden="1" x14ac:dyDescent="0.3">
      <c r="B89" t="s">
        <v>13</v>
      </c>
      <c r="C89" s="26">
        <v>43000000</v>
      </c>
      <c r="J89" s="31" t="s">
        <v>16</v>
      </c>
      <c r="K89" s="26">
        <v>37000000</v>
      </c>
      <c r="L89" s="26">
        <v>40800000</v>
      </c>
      <c r="M89" s="26">
        <v>3800000</v>
      </c>
    </row>
    <row r="90" spans="2:13" hidden="1" x14ac:dyDescent="0.3">
      <c r="B90" t="s">
        <v>16</v>
      </c>
      <c r="C90" s="26">
        <v>37000000</v>
      </c>
      <c r="J90" s="31" t="s">
        <v>12</v>
      </c>
      <c r="K90" s="26">
        <v>146000000</v>
      </c>
      <c r="L90" s="26">
        <v>159500000</v>
      </c>
      <c r="M90" s="26">
        <v>13500000</v>
      </c>
    </row>
    <row r="91" spans="2:13" hidden="1" x14ac:dyDescent="0.3">
      <c r="B91" t="s">
        <v>18</v>
      </c>
      <c r="C91" s="26">
        <v>30000000</v>
      </c>
      <c r="J91" s="31" t="s">
        <v>6</v>
      </c>
      <c r="K91" s="26">
        <v>28000000</v>
      </c>
      <c r="L91" s="26">
        <v>28900000</v>
      </c>
      <c r="M91" s="26">
        <v>900000</v>
      </c>
    </row>
    <row r="92" spans="2:13" hidden="1" x14ac:dyDescent="0.3">
      <c r="B92" t="s">
        <v>6</v>
      </c>
      <c r="C92" s="26">
        <v>28000000</v>
      </c>
      <c r="J92" s="31" t="s">
        <v>14</v>
      </c>
      <c r="K92" s="26">
        <v>52000000</v>
      </c>
      <c r="L92" s="26">
        <v>55500000</v>
      </c>
      <c r="M92" s="26">
        <v>3500000</v>
      </c>
    </row>
    <row r="93" spans="2:13" hidden="1" x14ac:dyDescent="0.3">
      <c r="B93" t="s">
        <v>22</v>
      </c>
      <c r="C93" s="26">
        <v>539500000</v>
      </c>
      <c r="J93" s="31" t="s">
        <v>13</v>
      </c>
      <c r="K93" s="26">
        <v>43000000</v>
      </c>
      <c r="L93" s="26">
        <v>45200000</v>
      </c>
      <c r="M93" s="26">
        <v>2200000</v>
      </c>
    </row>
    <row r="94" spans="2:13" hidden="1" x14ac:dyDescent="0.3">
      <c r="J94" s="31" t="s">
        <v>18</v>
      </c>
      <c r="K94" s="26">
        <v>30000000</v>
      </c>
      <c r="L94" s="26">
        <v>33800000</v>
      </c>
      <c r="M94" s="26">
        <v>3800000</v>
      </c>
    </row>
    <row r="95" spans="2:13" hidden="1" x14ac:dyDescent="0.3">
      <c r="J95" s="31" t="s">
        <v>22</v>
      </c>
      <c r="K95" s="26">
        <v>539500000</v>
      </c>
      <c r="L95" s="26">
        <v>586200000</v>
      </c>
      <c r="M95" s="26">
        <v>46700000</v>
      </c>
    </row>
    <row r="96" spans="2:13" hidden="1" x14ac:dyDescent="0.3">
      <c r="J96"/>
      <c r="K96"/>
      <c r="L96"/>
      <c r="M96"/>
    </row>
    <row r="97" spans="2:12" hidden="1" x14ac:dyDescent="0.3">
      <c r="J97"/>
      <c r="K97"/>
      <c r="L97"/>
    </row>
    <row r="98" spans="2:12" hidden="1" x14ac:dyDescent="0.3">
      <c r="B98" s="7" t="s">
        <v>20</v>
      </c>
      <c r="C98" t="s">
        <v>23</v>
      </c>
      <c r="D98"/>
      <c r="J98"/>
      <c r="K98"/>
      <c r="L98"/>
    </row>
    <row r="99" spans="2:12" hidden="1" x14ac:dyDescent="0.3">
      <c r="B99" t="s">
        <v>39</v>
      </c>
      <c r="C99" s="26">
        <v>498500000</v>
      </c>
      <c r="D99"/>
      <c r="J99"/>
      <c r="K99"/>
      <c r="L99"/>
    </row>
    <row r="100" spans="2:12" hidden="1" x14ac:dyDescent="0.3">
      <c r="B100" t="s">
        <v>38</v>
      </c>
      <c r="C100" s="26">
        <v>41000000</v>
      </c>
      <c r="D100"/>
      <c r="J100" s="7" t="s">
        <v>20</v>
      </c>
      <c r="K100" t="s">
        <v>38</v>
      </c>
      <c r="L100"/>
    </row>
    <row r="101" spans="2:12" hidden="1" x14ac:dyDescent="0.3">
      <c r="B101" t="s">
        <v>22</v>
      </c>
      <c r="C101" s="26">
        <v>539500000</v>
      </c>
      <c r="D101"/>
      <c r="J101"/>
      <c r="K101"/>
      <c r="L101"/>
    </row>
    <row r="102" spans="2:12" hidden="1" x14ac:dyDescent="0.3">
      <c r="B102"/>
      <c r="C102"/>
      <c r="D102"/>
      <c r="J102" s="7" t="s">
        <v>0</v>
      </c>
      <c r="K102" t="s">
        <v>43</v>
      </c>
      <c r="L102"/>
    </row>
    <row r="103" spans="2:12" hidden="1" x14ac:dyDescent="0.3">
      <c r="B103"/>
      <c r="C103"/>
      <c r="D103"/>
      <c r="J103" s="59">
        <v>45689</v>
      </c>
      <c r="K103" s="60">
        <v>-2.8333333333333335E-2</v>
      </c>
    </row>
    <row r="104" spans="2:12" hidden="1" x14ac:dyDescent="0.3">
      <c r="J104" s="59">
        <v>45696</v>
      </c>
      <c r="K104" s="60">
        <v>-0.02</v>
      </c>
    </row>
    <row r="105" spans="2:12" hidden="1" x14ac:dyDescent="0.3">
      <c r="J105" s="59">
        <v>45717</v>
      </c>
      <c r="K105" s="60">
        <v>-1.4285714285714285E-2</v>
      </c>
    </row>
    <row r="106" spans="2:12" hidden="1" x14ac:dyDescent="0.3">
      <c r="J106" s="59" t="s">
        <v>22</v>
      </c>
      <c r="K106" s="60">
        <v>-2.2738095238095241E-2</v>
      </c>
    </row>
    <row r="107" spans="2:12" hidden="1" x14ac:dyDescent="0.3"/>
    <row r="108" spans="2:12" hidden="1" x14ac:dyDescent="0.3"/>
  </sheetData>
  <mergeCells count="8">
    <mergeCell ref="B2:O2"/>
    <mergeCell ref="B56:O79"/>
    <mergeCell ref="I3:O18"/>
    <mergeCell ref="B3:H18"/>
    <mergeCell ref="B19:H37"/>
    <mergeCell ref="I19:O37"/>
    <mergeCell ref="B38:H55"/>
    <mergeCell ref="I38:O55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Análisis de datos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DIAZ</dc:creator>
  <cp:lastModifiedBy>MIGUEL DIAZ</cp:lastModifiedBy>
  <dcterms:created xsi:type="dcterms:W3CDTF">2026-02-12T15:24:59Z</dcterms:created>
  <dcterms:modified xsi:type="dcterms:W3CDTF">2026-02-12T22:08:52Z</dcterms:modified>
</cp:coreProperties>
</file>